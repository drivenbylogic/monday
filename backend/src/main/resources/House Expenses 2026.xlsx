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" sheetId="1" r:id="rId5"/>
    <sheet state="visible" name="Categories" sheetId="2" r:id="rId6"/>
    <sheet state="visible" name="January" sheetId="3" r:id="rId7"/>
    <sheet state="visible" name="February" sheetId="4" r:id="rId8"/>
    <sheet state="visible" name="March" sheetId="5" r:id="rId9"/>
    <sheet state="visible" name="April" sheetId="6" r:id="rId10"/>
    <sheet state="visible" name="May" sheetId="7" r:id="rId11"/>
    <sheet state="visible" name="June" sheetId="8" r:id="rId12"/>
    <sheet state="visible" name="July" sheetId="9" r:id="rId13"/>
    <sheet state="visible" name="August" sheetId="10" r:id="rId14"/>
    <sheet state="visible" name="Pivot Table 1" sheetId="11" r:id="rId15"/>
  </sheets>
  <definedNames>
    <definedName hidden="1" localSheetId="6" name="_xlnm._FilterDatabase">May!$D$1:$D$1008</definedName>
  </definedNames>
  <calcPr/>
  <pivotCaches>
    <pivotCache cacheId="0" r:id="rId16"/>
  </pivotCaches>
</workbook>
</file>

<file path=xl/sharedStrings.xml><?xml version="1.0" encoding="utf-8"?>
<sst xmlns="http://schemas.openxmlformats.org/spreadsheetml/2006/main" count="1993" uniqueCount="236">
  <si>
    <t>Expense</t>
  </si>
  <si>
    <t>Date</t>
  </si>
  <si>
    <t>Category</t>
  </si>
  <si>
    <t>Subcategory</t>
  </si>
  <si>
    <t>Amount</t>
  </si>
  <si>
    <t>Manjal, Kunkumam, Uppu</t>
  </si>
  <si>
    <t>Bus fare</t>
  </si>
  <si>
    <t>Transport</t>
  </si>
  <si>
    <t>Newspaper</t>
  </si>
  <si>
    <t>House</t>
  </si>
  <si>
    <t>Bus</t>
  </si>
  <si>
    <t>Milk</t>
  </si>
  <si>
    <t>Archanai</t>
  </si>
  <si>
    <t>Temple</t>
  </si>
  <si>
    <t>Donation</t>
  </si>
  <si>
    <t>Gas</t>
  </si>
  <si>
    <t>Medicine Prabha</t>
  </si>
  <si>
    <t>Medicine</t>
  </si>
  <si>
    <t>Prabha</t>
  </si>
  <si>
    <t>Vegetable</t>
  </si>
  <si>
    <t>EB Bill</t>
  </si>
  <si>
    <t>EB</t>
  </si>
  <si>
    <t>Grocery</t>
  </si>
  <si>
    <t>Vegetables</t>
  </si>
  <si>
    <t>Ration</t>
  </si>
  <si>
    <t>Provision</t>
  </si>
  <si>
    <t>Water</t>
  </si>
  <si>
    <t>Fruits</t>
  </si>
  <si>
    <t>Common</t>
  </si>
  <si>
    <t>Phone Recharge Ravi</t>
  </si>
  <si>
    <t>Wifi Recharge</t>
  </si>
  <si>
    <t>Recharge</t>
  </si>
  <si>
    <t>Phone</t>
  </si>
  <si>
    <t>Ravi Medicine</t>
  </si>
  <si>
    <t>Bills</t>
  </si>
  <si>
    <t>Ravi</t>
  </si>
  <si>
    <t>LIC premium</t>
  </si>
  <si>
    <t>Electricity</t>
  </si>
  <si>
    <t>Prabha Medicine</t>
  </si>
  <si>
    <t>Auto</t>
  </si>
  <si>
    <t>Karthick Medicine</t>
  </si>
  <si>
    <t>Karthick</t>
  </si>
  <si>
    <t>Insurance</t>
  </si>
  <si>
    <t>Dustbin</t>
  </si>
  <si>
    <t>Premium</t>
  </si>
  <si>
    <t>Diet foods</t>
  </si>
  <si>
    <t>Ravi Hospital</t>
  </si>
  <si>
    <t>Bread</t>
  </si>
  <si>
    <t>Hospital</t>
  </si>
  <si>
    <t>Prabha Hospital</t>
  </si>
  <si>
    <t>Taxi for booking mandapam</t>
  </si>
  <si>
    <t>Karthick Hospital</t>
  </si>
  <si>
    <t>Taxi</t>
  </si>
  <si>
    <t>Pooja items</t>
  </si>
  <si>
    <t>Pooja</t>
  </si>
  <si>
    <t>Tea</t>
  </si>
  <si>
    <t>Flour grinding</t>
  </si>
  <si>
    <t>Food</t>
  </si>
  <si>
    <t>Vegetable cutter</t>
  </si>
  <si>
    <t>Outside</t>
  </si>
  <si>
    <t>Gas Insurance</t>
  </si>
  <si>
    <t>Hearing Aid Repair</t>
  </si>
  <si>
    <t>Juice</t>
  </si>
  <si>
    <t>Doctor</t>
  </si>
  <si>
    <t>Snacks</t>
  </si>
  <si>
    <t>Breakfast</t>
  </si>
  <si>
    <t>Ticket</t>
  </si>
  <si>
    <t>Water pot</t>
  </si>
  <si>
    <t>Lunch</t>
  </si>
  <si>
    <t>Pongal pot</t>
  </si>
  <si>
    <t>Pongal Aduppu</t>
  </si>
  <si>
    <t>Dinner</t>
  </si>
  <si>
    <t>Courier person</t>
  </si>
  <si>
    <t>Order</t>
  </si>
  <si>
    <t>Water person expenses</t>
  </si>
  <si>
    <t>Water operator</t>
  </si>
  <si>
    <t>Toothpaste</t>
  </si>
  <si>
    <t>Pongal Gift</t>
  </si>
  <si>
    <t>Readymade food</t>
  </si>
  <si>
    <t>House Essentials</t>
  </si>
  <si>
    <t>Toiletries</t>
  </si>
  <si>
    <t>Readymade</t>
  </si>
  <si>
    <t>Keerai</t>
  </si>
  <si>
    <t>Aadhar card</t>
  </si>
  <si>
    <t>Dry fruits</t>
  </si>
  <si>
    <t>Honey</t>
  </si>
  <si>
    <t>Provistion</t>
  </si>
  <si>
    <t>Oil</t>
  </si>
  <si>
    <t>Poojai items</t>
  </si>
  <si>
    <t>Courier</t>
  </si>
  <si>
    <t>Onetime</t>
  </si>
  <si>
    <t>Elaneer</t>
  </si>
  <si>
    <t>Blood test</t>
  </si>
  <si>
    <t>Gift</t>
  </si>
  <si>
    <t>Tests</t>
  </si>
  <si>
    <t>Personal Ravi</t>
  </si>
  <si>
    <t>Personal</t>
  </si>
  <si>
    <t>Personal Prabha</t>
  </si>
  <si>
    <t>Personal Karthick</t>
  </si>
  <si>
    <t>Bloodwork</t>
  </si>
  <si>
    <t>Medicine Ravi</t>
  </si>
  <si>
    <t>Chocolate</t>
  </si>
  <si>
    <t>Ravi Mobile Recharge</t>
  </si>
  <si>
    <t>Mobile</t>
  </si>
  <si>
    <t>Bus fare Codissia</t>
  </si>
  <si>
    <t>Temple donation</t>
  </si>
  <si>
    <t>Batter</t>
  </si>
  <si>
    <t>Pongal gift</t>
  </si>
  <si>
    <t>Refill</t>
  </si>
  <si>
    <t>PSG entrance</t>
  </si>
  <si>
    <t>Medical test</t>
  </si>
  <si>
    <t>Elastic band</t>
  </si>
  <si>
    <t>Water can</t>
  </si>
  <si>
    <t>Dry Fruits</t>
  </si>
  <si>
    <t>Articles for home</t>
  </si>
  <si>
    <t>B12 injection</t>
  </si>
  <si>
    <t>Curd</t>
  </si>
  <si>
    <t>Brush</t>
  </si>
  <si>
    <t>Tissues</t>
  </si>
  <si>
    <t>Ayurvedha medicine</t>
  </si>
  <si>
    <t>Valli</t>
  </si>
  <si>
    <t>Ayurvedha</t>
  </si>
  <si>
    <t>Idly batter</t>
  </si>
  <si>
    <t>Ice cream</t>
  </si>
  <si>
    <t>Giift to senthil son</t>
  </si>
  <si>
    <t>Phone recharge</t>
  </si>
  <si>
    <t>Doctor fees</t>
  </si>
  <si>
    <t>Post</t>
  </si>
  <si>
    <t>Camphor</t>
  </si>
  <si>
    <t>House cleaning</t>
  </si>
  <si>
    <t>Provision VST</t>
  </si>
  <si>
    <t>Maintainence</t>
  </si>
  <si>
    <t>Vim</t>
  </si>
  <si>
    <t>Dinner zomato</t>
  </si>
  <si>
    <t>Dress</t>
  </si>
  <si>
    <t>Eye drops</t>
  </si>
  <si>
    <t>Valli income</t>
  </si>
  <si>
    <t>Total expenses</t>
  </si>
  <si>
    <t>Pen</t>
  </si>
  <si>
    <t>Broomstick</t>
  </si>
  <si>
    <t>Wifi recharge</t>
  </si>
  <si>
    <t>Subscription</t>
  </si>
  <si>
    <t>Wifi</t>
  </si>
  <si>
    <t>Share auto</t>
  </si>
  <si>
    <t>Phone cover</t>
  </si>
  <si>
    <t>Grinding</t>
  </si>
  <si>
    <t>Karthick Income</t>
  </si>
  <si>
    <t>House Expenses</t>
  </si>
  <si>
    <t>Knife sharpening</t>
  </si>
  <si>
    <t>B12 Injection</t>
  </si>
  <si>
    <t>Electricity service</t>
  </si>
  <si>
    <t>Plumbing items</t>
  </si>
  <si>
    <t>Plumber charger</t>
  </si>
  <si>
    <t>Banana leaf</t>
  </si>
  <si>
    <t>Lemon</t>
  </si>
  <si>
    <t>Ceremony item</t>
  </si>
  <si>
    <t>Flowers</t>
  </si>
  <si>
    <t>Panjangam</t>
  </si>
  <si>
    <t>Nool kandu</t>
  </si>
  <si>
    <t>Electricity Bill</t>
  </si>
  <si>
    <t>Food order</t>
  </si>
  <si>
    <t>Slipper</t>
  </si>
  <si>
    <t>Entance fees PSG</t>
  </si>
  <si>
    <t>Test</t>
  </si>
  <si>
    <t>Hardware</t>
  </si>
  <si>
    <t>Gowri dress</t>
  </si>
  <si>
    <t>Plumber</t>
  </si>
  <si>
    <t>Phone tempered glass</t>
  </si>
  <si>
    <t>Maavadu</t>
  </si>
  <si>
    <t>Chapathi</t>
  </si>
  <si>
    <t>Pooja item</t>
  </si>
  <si>
    <t>House items</t>
  </si>
  <si>
    <t>Home</t>
  </si>
  <si>
    <t>Essentials</t>
  </si>
  <si>
    <t>Prabha Recharge</t>
  </si>
  <si>
    <t>Phone Recharge</t>
  </si>
  <si>
    <t>Griding</t>
  </si>
  <si>
    <t>Poli</t>
  </si>
  <si>
    <t>Tiles vehicle</t>
  </si>
  <si>
    <t>Earrings</t>
  </si>
  <si>
    <t>Fancy items</t>
  </si>
  <si>
    <t>Tiles labour</t>
  </si>
  <si>
    <t>Mainainence</t>
  </si>
  <si>
    <t>Gas pipe</t>
  </si>
  <si>
    <t>Paste</t>
  </si>
  <si>
    <t>Miscellaneous</t>
  </si>
  <si>
    <t>Valli Income</t>
  </si>
  <si>
    <t>Total Expenses</t>
  </si>
  <si>
    <t>ORS</t>
  </si>
  <si>
    <t>Net expenses</t>
  </si>
  <si>
    <t>Items</t>
  </si>
  <si>
    <t>Mobile Recharge</t>
  </si>
  <si>
    <t>Electrical work</t>
  </si>
  <si>
    <t>Elecrician fee</t>
  </si>
  <si>
    <t>Child gift</t>
  </si>
  <si>
    <t>Maavu</t>
  </si>
  <si>
    <t>Everyday</t>
  </si>
  <si>
    <t>Soap</t>
  </si>
  <si>
    <t>Nellikai</t>
  </si>
  <si>
    <t>Eyedrops</t>
  </si>
  <si>
    <t>Lining cloth</t>
  </si>
  <si>
    <t>EB bill</t>
  </si>
  <si>
    <t>Ravi recharge</t>
  </si>
  <si>
    <t>Injection</t>
  </si>
  <si>
    <t>Tiffin</t>
  </si>
  <si>
    <t>Sukku coffee</t>
  </si>
  <si>
    <t>Net Expenses</t>
  </si>
  <si>
    <t>TV recharrge</t>
  </si>
  <si>
    <t>Parcel</t>
  </si>
  <si>
    <t>Rice</t>
  </si>
  <si>
    <t>Silver</t>
  </si>
  <si>
    <t>Silver Tumbler polish</t>
  </si>
  <si>
    <t>Readymade Food</t>
  </si>
  <si>
    <t>Valli Medicine</t>
  </si>
  <si>
    <t>Pooja Items</t>
  </si>
  <si>
    <t>SUM of Amount</t>
  </si>
  <si>
    <t xml:space="preserve"> Total</t>
  </si>
  <si>
    <t>Check Category</t>
  </si>
  <si>
    <t>Check subcategory</t>
  </si>
  <si>
    <t>Check Category Total</t>
  </si>
  <si>
    <t>Dress Total</t>
  </si>
  <si>
    <t>Food Total</t>
  </si>
  <si>
    <t>Grocery Total</t>
  </si>
  <si>
    <t>Hospital Total</t>
  </si>
  <si>
    <t>House Total</t>
  </si>
  <si>
    <t>Medicine Total</t>
  </si>
  <si>
    <t>Onetime Total</t>
  </si>
  <si>
    <t>Ravi medicine</t>
  </si>
  <si>
    <t>Personal Total</t>
  </si>
  <si>
    <t>Provision Total</t>
  </si>
  <si>
    <t>Temple Total</t>
  </si>
  <si>
    <t>Transport Total</t>
  </si>
  <si>
    <t>Silver Plate</t>
  </si>
  <si>
    <t>Grand Total</t>
  </si>
  <si>
    <t>Nebulizer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</si>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</sst>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"/>
    <numFmt numFmtId="165" formatCode="m/d/yy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readingOrder="0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3" numFmtId="164" xfId="0" applyAlignment="1" applyFont="1" applyNumberFormat="1">
      <alignment readingOrder="0"/>
    </xf>
    <xf borderId="0" fillId="0" fontId="4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16" sheet="June"/>
  </cacheSource>
  <cacheFields>
    <cacheField name="Expense" numFmtId="0">
      <sharedItems containsBlank="1">
        <s v="Manjal, Kunkumam, Uppu"/>
        <s v="Courier"/>
        <s v="Gas"/>
        <s v="Water"/>
        <s v="Provision"/>
        <s v="Bus"/>
        <s v="Auto"/>
        <s v="Medicine"/>
        <s v="Juice"/>
        <s v="Vegetables"/>
        <s v="Milk"/>
        <s v="Readymade food"/>
        <s v="Snacks"/>
        <s v="Newspaper"/>
        <s v="Dress"/>
        <s v="Honey"/>
        <s v="Dry fruits"/>
        <s v="Valli Medicine"/>
        <s v="Doctor fees"/>
        <s v="Gift"/>
        <s v="Pooja Items"/>
        <s v="Ravi Medicine"/>
        <s v="Temple"/>
        <s v="Fruits"/>
        <s v="Personal Ravi"/>
        <s v="Bloodwork"/>
        <s v="Ravi Hospital"/>
        <s v="Breakfast"/>
        <s v="Prabha Medicine"/>
        <s v="EB Bill"/>
        <s v="Oil"/>
        <m/>
      </sharedItems>
    </cacheField>
    <cacheField name="Date">
      <sharedItems containsDate="1" containsMixedTypes="1">
        <d v="2026-06-01T00:00:00Z"/>
        <d v="2026-06-02T00:00:00Z"/>
        <d v="2026-06-03T00:00:00Z"/>
        <d v="2026-06-04T00:00:00Z"/>
        <d v="2026-06-05T00:00:00Z"/>
        <d v="2026-06-06T00:00:00Z"/>
        <d v="2026-06-07T00:00:00Z"/>
        <d v="2026-06-09T00:00:00Z"/>
        <d v="2026-06-10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s v="Total"/>
      </sharedItems>
    </cacheField>
    <cacheField name="Amount" numFmtId="0">
      <sharedItems containsSemiMixedTypes="0" containsString="0" containsNumber="1" containsInteger="1">
        <n v="20.0"/>
        <n v="512.0"/>
        <n v="950.0"/>
        <n v="1500.0"/>
        <n v="400.0"/>
        <n v="330.0"/>
        <n v="611.0"/>
        <n v="38.0"/>
        <n v="70.0"/>
        <n v="120.0"/>
        <n v="188.0"/>
        <n v="850.0"/>
        <n v="2350.0"/>
        <n v="100.0"/>
        <n v="2106.0"/>
        <n v="60.0"/>
        <n v="30.0"/>
        <n v="717.0"/>
        <n v="150.0"/>
        <n v="453.0"/>
        <n v="50.0"/>
        <n v="875.0"/>
        <n v="375.0"/>
        <n v="40.0"/>
        <n v="360.0"/>
        <n v="10.0"/>
        <n v="410.0"/>
        <n v="42.0"/>
        <n v="980.0"/>
        <n v="22.0"/>
        <n v="25.0"/>
        <n v="539.0"/>
        <n v="234.0"/>
        <n v="1234.0"/>
        <n v="300.0"/>
        <n v="180.0"/>
        <n v="200.0"/>
        <n v="430.0"/>
        <n v="160.0"/>
        <n v="985.0"/>
        <n v="900.0"/>
        <n v="80.0"/>
        <n v="224.0"/>
        <n v="65.0"/>
        <n v="85.0"/>
        <n v="220.0"/>
        <n v="105.0"/>
        <n v="415.0"/>
        <n v="45.0"/>
        <n v="206.0"/>
        <n v="92.0"/>
        <n v="32.0"/>
        <n v="1100.0"/>
        <n v="34.0"/>
        <n v="500.0"/>
        <n v="46.0"/>
        <n v="26.0"/>
        <n v="52.0"/>
        <n v="928.0"/>
        <n v="184.0"/>
        <n v="2036.0"/>
        <n v="1583.0"/>
        <n v="275.0"/>
        <n v="139.0"/>
        <n v="700.0"/>
        <n v="345.0"/>
        <n v="23.0"/>
        <n v="490.0"/>
        <n v="760.0"/>
        <n v="1000.0"/>
        <n v="101.0"/>
        <n v="36354.0"/>
      </sharedItems>
    </cacheField>
    <cacheField name="Category" numFmtId="0">
      <sharedItems containsBlank="1">
        <s v="Check Category"/>
        <s v="Onetime"/>
        <s v="House"/>
        <s v="Provision"/>
        <s v="Transport"/>
        <s v="Medicine"/>
        <s v="Food"/>
        <s v="Grocery"/>
        <s v="Dress"/>
        <s v="Hospital"/>
        <s v="Temple"/>
        <s v="Personal"/>
        <m/>
      </sharedItems>
    </cacheField>
    <cacheField name="Subcategory" numFmtId="0">
      <sharedItems containsBlank="1">
        <s v="Check subcategory"/>
        <s v="Courier"/>
        <s v="Gas"/>
        <s v="Common"/>
        <s v="Provision"/>
        <s v="Bus"/>
        <s v="Auto"/>
        <s v="Outside"/>
        <s v="Vegetables"/>
        <s v="Milk"/>
        <s v="Readymade"/>
        <s v="Snacks"/>
        <s v="Newspaper"/>
        <s v="Ravi"/>
        <s v="Honey"/>
        <s v="Dry fruits"/>
        <s v="Valli"/>
        <s v="Gift"/>
        <s v="Pooja"/>
        <s v="Donation"/>
        <s v="Fruits"/>
        <s v="Prabha"/>
        <s v="EB"/>
        <s v="Dress"/>
        <s v="Oil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46" firstHeaderRow="0" firstDataRow="2" firstDataCol="0"/>
  <pivotFields>
    <pivotField name="Expen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Category" axis="axisRow" compact="0" outline="0" multipleItemSelectionAllowed="1" showAll="0" sortType="ascending">
      <items>
        <item x="12"/>
        <item x="0"/>
        <item x="8"/>
        <item x="6"/>
        <item x="7"/>
        <item x="9"/>
        <item x="2"/>
        <item x="5"/>
        <item x="1"/>
        <item x="11"/>
        <item x="3"/>
        <item x="10"/>
        <item x="4"/>
        <item t="default"/>
      </items>
    </pivotField>
    <pivotField name="Subcategory" axis="axisRow" compact="0" outline="0" multipleItemSelectionAllowed="1" showAll="0" sortType="ascending">
      <items>
        <item x="25"/>
        <item x="6"/>
        <item x="5"/>
        <item x="0"/>
        <item x="3"/>
        <item x="1"/>
        <item x="19"/>
        <item x="23"/>
        <item x="15"/>
        <item x="22"/>
        <item x="20"/>
        <item x="2"/>
        <item x="17"/>
        <item x="14"/>
        <item x="9"/>
        <item x="12"/>
        <item x="24"/>
        <item x="7"/>
        <item x="18"/>
        <item x="21"/>
        <item x="4"/>
        <item x="13"/>
        <item x="10"/>
        <item x="11"/>
        <item x="16"/>
        <item x="8"/>
        <item t="default"/>
      </items>
    </pivotField>
  </pivotFields>
  <rowFields>
    <field x="3"/>
    <field x="4"/>
  </rowFields>
  <dataFields>
    <dataField name="SUM of Am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0"/>
    <col customWidth="1" min="5" max="5" width="15.25"/>
    <col customWidth="1" min="18" max="18" width="18.5"/>
  </cols>
  <sheetData>
    <row r="1">
      <c r="A1" s="1" t="s">
        <v>0</v>
      </c>
      <c r="B1" s="4" t="s">
        <v>1</v>
      </c>
      <c r="C1" s="1" t="s">
        <v>4</v>
      </c>
      <c r="D1" s="1" t="s">
        <v>2</v>
      </c>
      <c r="E1" s="1" t="s">
        <v>3</v>
      </c>
    </row>
    <row r="2">
      <c r="A2" s="7" t="s">
        <v>5</v>
      </c>
      <c r="B2" s="9">
        <v>46174.0</v>
      </c>
      <c r="C2" s="10">
        <v>20.0</v>
      </c>
      <c r="D2" s="7" t="str">
        <f t="array" ref="D2">_xlfn.XLOOKUP(A2, Categories!A:A, Categories!B:B, "Check Category", 0)</f>
        <v>Check Category</v>
      </c>
      <c r="E2" s="7" t="str">
        <f t="array" ref="E2">_xlfn.XLOOKUP(A2, Categories!A:A, Categories!C:C, "Check subcategory", 0)</f>
        <v>Check subcategory</v>
      </c>
    </row>
    <row r="3">
      <c r="A3" s="7"/>
      <c r="B3" s="9"/>
      <c r="C3" s="10"/>
      <c r="D3" s="7" t="str">
        <f t="array" ref="D3">_xlfn.XLOOKUP(A3, Categories!A:A, Categories!B:B, "Check Category", 0)</f>
        <v>Check Category</v>
      </c>
      <c r="E3" s="7" t="str">
        <f t="array" ref="E3">_xlfn.XLOOKUP(A3, Categories!A:A, Categories!C:C, "Check subcategory", 0)</f>
        <v>Check subcategory</v>
      </c>
    </row>
    <row r="4">
      <c r="D4" s="7" t="str">
        <f t="array" ref="D4">_xlfn.XLOOKUP(A4, Categories!A:A, Categories!B:B, "Check Category", 0)</f>
        <v>Check Category</v>
      </c>
      <c r="E4" s="7" t="str">
        <f t="array" ref="E4">_xlfn.XLOOKUP(A4, Categories!A:A, Categories!C:C, "Check subcategory", 0)</f>
        <v>Check subcategory</v>
      </c>
    </row>
    <row r="5">
      <c r="D5" s="7" t="str">
        <f t="array" ref="D5">_xlfn.XLOOKUP(A5, Categories!A:A, Categories!B:B, "Check Category", 0)</f>
        <v>Check Category</v>
      </c>
      <c r="E5" s="7" t="str">
        <f t="array" ref="E5">_xlfn.XLOOKUP(A5, Categories!A:A, Categories!C:C, "Check subcategory", 0)</f>
        <v>Check subcategory</v>
      </c>
    </row>
    <row r="6">
      <c r="D6" s="7" t="str">
        <f t="array" ref="D6">_xlfn.XLOOKUP(A6, Categories!A:A, Categories!B:B, "Check Category", 0)</f>
        <v>Check Category</v>
      </c>
      <c r="E6" s="7" t="str">
        <f t="array" ref="E6">_xlfn.XLOOKUP(A6, Categories!A:A, Categories!C:C, "Check subcategory", 0)</f>
        <v>Check subcategory</v>
      </c>
    </row>
    <row r="7">
      <c r="D7" s="7" t="str">
        <f t="array" ref="D7">_xlfn.XLOOKUP(A7, Categories!A:A, Categories!B:B, "Check Category", 0)</f>
        <v>Check Category</v>
      </c>
      <c r="E7" s="7" t="str">
        <f t="array" ref="E7">_xlfn.XLOOKUP(A7, Categories!A:A, Categories!C:C, "Check subcategory", 0)</f>
        <v>Check subcategory</v>
      </c>
    </row>
    <row r="8">
      <c r="D8" s="7" t="str">
        <f t="array" ref="D8">_xlfn.XLOOKUP(A8, Categories!A:A, Categories!B:B, "Check Category", 0)</f>
        <v>Check Category</v>
      </c>
      <c r="E8" s="7" t="str">
        <f t="array" ref="E8">_xlfn.XLOOKUP(A8, Categories!A:A, Categories!C:C, "Check subcategory", 0)</f>
        <v>Check subcategory</v>
      </c>
    </row>
    <row r="9">
      <c r="D9" s="7" t="str">
        <f t="array" ref="D9">_xlfn.XLOOKUP(A9, Categories!A:A, Categories!B:B, "Check Category", 0)</f>
        <v>Check Category</v>
      </c>
      <c r="E9" s="7" t="str">
        <f t="array" ref="E9">_xlfn.XLOOKUP(A9, Categories!A:A, Categories!C:C, "Check subcategory", 0)</f>
        <v>Check subcategory</v>
      </c>
    </row>
    <row r="10">
      <c r="D10" s="7" t="str">
        <f t="array" ref="D10">_xlfn.XLOOKUP(A10, Categories!A:A, Categories!B:B, "Check Category", 0)</f>
        <v>Check Category</v>
      </c>
      <c r="E10" s="7" t="str">
        <f t="array" ref="E10">_xlfn.XLOOKUP(A10, Categories!A:A, Categories!C:C, "Check subcategory", 0)</f>
        <v>Check subcategory</v>
      </c>
    </row>
    <row r="11">
      <c r="D11" s="7" t="str">
        <f t="array" ref="D11">_xlfn.XLOOKUP(A11, Categories!A:A, Categories!B:B, "Check Category", 0)</f>
        <v>Check Category</v>
      </c>
      <c r="E11" s="7" t="str">
        <f t="array" ref="E11">_xlfn.XLOOKUP(A11, Categories!A:A, Categories!C:C, "Check subcategory", 0)</f>
        <v>Check subcategory</v>
      </c>
    </row>
    <row r="12">
      <c r="D12" s="7" t="str">
        <f t="array" ref="D12">_xlfn.XLOOKUP(A12, Categories!A:A, Categories!B:B, "Check Category", 0)</f>
        <v>Check Category</v>
      </c>
      <c r="E12" s="7" t="str">
        <f t="array" ref="E12">_xlfn.XLOOKUP(A12, Categories!A:A, Categories!C:C, "Check subcategory", 0)</f>
        <v>Check subcategory</v>
      </c>
    </row>
    <row r="13">
      <c r="D13" s="7" t="str">
        <f t="array" ref="D13">_xlfn.XLOOKUP(A13, Categories!A:A, Categories!B:B, "Check Category", 0)</f>
        <v>Check Category</v>
      </c>
      <c r="E13" s="7" t="str">
        <f t="array" ref="E13">_xlfn.XLOOKUP(A13, Categories!A:A, Categories!C:C, "Check subcategory", 0)</f>
        <v>Check subcategory</v>
      </c>
    </row>
    <row r="14">
      <c r="D14" s="7" t="str">
        <f t="array" ref="D14">_xlfn.XLOOKUP(A14, Categories!A:A, Categories!B:B, "Check Category", 0)</f>
        <v>Check Category</v>
      </c>
      <c r="E14" s="7" t="str">
        <f t="array" ref="E14">_xlfn.XLOOKUP(A14, Categories!A:A, Categories!C:C, "Check subcategory", 0)</f>
        <v>Check subcategory</v>
      </c>
    </row>
    <row r="15">
      <c r="D15" s="7" t="str">
        <f t="array" ref="D15">_xlfn.XLOOKUP(A15, Categories!A:A, Categories!B:B, "Check Category", 0)</f>
        <v>Check Category</v>
      </c>
      <c r="E15" s="7" t="str">
        <f t="array" ref="E15">_xlfn.XLOOKUP(A15, Categories!A:A, Categories!C:C, "Check subcategory", 0)</f>
        <v>Check subcategory</v>
      </c>
    </row>
    <row r="16">
      <c r="D16" s="7" t="str">
        <f t="array" ref="D16">_xlfn.XLOOKUP(A16, Categories!A:A, Categories!B:B, "Check Category", 0)</f>
        <v>Check Category</v>
      </c>
      <c r="E16" s="7" t="str">
        <f t="array" ref="E16">_xlfn.XLOOKUP(A16, Categories!A:A, Categories!C:C, "Check subcategory", 0)</f>
        <v>Check subcategory</v>
      </c>
    </row>
    <row r="17">
      <c r="D17" s="7" t="str">
        <f t="array" ref="D17">_xlfn.XLOOKUP(A17, Categories!A:A, Categories!B:B, "Check Category", 0)</f>
        <v>Check Category</v>
      </c>
      <c r="E17" s="7" t="str">
        <f t="array" ref="E17">_xlfn.XLOOKUP(A17, Categories!A:A, Categories!C:C, "Check subcategory", 0)</f>
        <v>Check subcategory</v>
      </c>
    </row>
    <row r="18">
      <c r="D18" s="7" t="str">
        <f t="array" ref="D18">_xlfn.XLOOKUP(A18, Categories!A:A, Categories!B:B, "Check Category", 0)</f>
        <v>Check Category</v>
      </c>
      <c r="E18" s="7" t="str">
        <f t="array" ref="E18">_xlfn.XLOOKUP(A18, Categories!A:A, Categories!C:C, "Check subcategory", 0)</f>
        <v>Check subcategory</v>
      </c>
    </row>
    <row r="19">
      <c r="D19" s="7" t="str">
        <f t="array" ref="D19">_xlfn.XLOOKUP(A19, Categories!A:A, Categories!B:B, "Check Category", 0)</f>
        <v>Check Category</v>
      </c>
      <c r="E19" s="7" t="str">
        <f t="array" ref="E19">_xlfn.XLOOKUP(A19, Categories!A:A, Categories!C:C, "Check subcategory", 0)</f>
        <v>Check subcategory</v>
      </c>
    </row>
    <row r="20">
      <c r="D20" s="7" t="str">
        <f t="array" ref="D20">_xlfn.XLOOKUP(A20, Categories!A:A, Categories!B:B, "Check Category", 0)</f>
        <v>Check Category</v>
      </c>
      <c r="E20" s="7" t="str">
        <f t="array" ref="E20">_xlfn.XLOOKUP(A20, Categories!A:A, Categories!C:C, "Check subcategory", 0)</f>
        <v>Check subcategory</v>
      </c>
    </row>
    <row r="21">
      <c r="D21" s="7" t="str">
        <f t="array" ref="D21">_xlfn.XLOOKUP(A21, Categories!A:A, Categories!B:B, "Check Category", 0)</f>
        <v>Check Category</v>
      </c>
      <c r="E21" s="7" t="str">
        <f t="array" ref="E21">_xlfn.XLOOKUP(A21, Categories!A:A, Categories!C:C, "Check subcategory", 0)</f>
        <v>Check subcategory</v>
      </c>
    </row>
    <row r="22">
      <c r="D22" s="7" t="str">
        <f t="array" ref="D22">_xlfn.XLOOKUP(A22, Categories!A:A, Categories!B:B, "Check Category", 0)</f>
        <v>Check Category</v>
      </c>
      <c r="E22" s="7" t="str">
        <f t="array" ref="E22">_xlfn.XLOOKUP(A22, Categories!A:A, Categories!C:C, "Check subcategory", 0)</f>
        <v>Check subcategory</v>
      </c>
    </row>
    <row r="23">
      <c r="D23" s="7" t="str">
        <f t="array" ref="D23">_xlfn.XLOOKUP(A23, Categories!A:A, Categories!B:B, "Check Category", 0)</f>
        <v>Check Category</v>
      </c>
      <c r="E23" s="7" t="str">
        <f t="array" ref="E23">_xlfn.XLOOKUP(A23, Categories!A:A, Categories!C:C, "Check subcategory", 0)</f>
        <v>Check subcategory</v>
      </c>
    </row>
    <row r="24">
      <c r="D24" s="7" t="str">
        <f t="array" ref="D24">_xlfn.XLOOKUP(A24, Categories!A:A, Categories!B:B, "Check Category", 0)</f>
        <v>Check Category</v>
      </c>
      <c r="E24" s="7" t="str">
        <f t="array" ref="E24">_xlfn.XLOOKUP(A24, Categories!A:A, Categories!C:C, "Check subcategory", 0)</f>
        <v>Check subcategory</v>
      </c>
    </row>
    <row r="25">
      <c r="D25" s="7" t="str">
        <f t="array" ref="D25">_xlfn.XLOOKUP(A25, Categories!A:A, Categories!B:B, "Check Category", 0)</f>
        <v>Check Category</v>
      </c>
      <c r="E25" s="7" t="str">
        <f t="array" ref="E25">_xlfn.XLOOKUP(A25, Categories!A:A, Categories!C:C, "Check subcategory", 0)</f>
        <v>Check subcategory</v>
      </c>
    </row>
    <row r="26">
      <c r="D26" s="7" t="str">
        <f t="array" ref="D26">_xlfn.XLOOKUP(A26, Categories!A:A, Categories!B:B, "Check Category", 0)</f>
        <v>Check Category</v>
      </c>
      <c r="E26" s="7" t="str">
        <f t="array" ref="E26">_xlfn.XLOOKUP(A26, Categories!A:A, Categories!C:C, "Check subcategory", 0)</f>
        <v>Check subcategory</v>
      </c>
    </row>
    <row r="27">
      <c r="D27" s="7" t="str">
        <f t="array" ref="D27">_xlfn.XLOOKUP(A27, Categories!A:A, Categories!B:B, "Check Category", 0)</f>
        <v>Check Category</v>
      </c>
      <c r="E27" s="7" t="str">
        <f t="array" ref="E27">_xlfn.XLOOKUP(A27, Categories!A:A, Categories!C:C, "Check subcategory", 0)</f>
        <v>Check subcategory</v>
      </c>
    </row>
    <row r="28">
      <c r="D28" s="7" t="str">
        <f t="array" ref="D28">_xlfn.XLOOKUP(A28, Categories!A:A, Categories!B:B, "Check Category", 0)</f>
        <v>Check Category</v>
      </c>
      <c r="E28" s="7" t="str">
        <f t="array" ref="E28">_xlfn.XLOOKUP(A28, Categories!A:A, Categories!C:C, "Check subcategory", 0)</f>
        <v>Check subcategory</v>
      </c>
    </row>
    <row r="29">
      <c r="D29" s="7" t="str">
        <f t="array" ref="D29">_xlfn.XLOOKUP(A29, Categories!A:A, Categories!B:B, "Check Category", 0)</f>
        <v>Check Category</v>
      </c>
      <c r="E29" s="7" t="str">
        <f t="array" ref="E29">_xlfn.XLOOKUP(A29, Categories!A:A, Categories!C:C, "Check subcategory", 0)</f>
        <v>Check subcategory</v>
      </c>
    </row>
    <row r="30">
      <c r="D30" s="7" t="str">
        <f t="array" ref="D30">_xlfn.XLOOKUP(A30, Categories!A:A, Categories!B:B, "Check Category", 0)</f>
        <v>Check Category</v>
      </c>
      <c r="E30" s="7" t="str">
        <f t="array" ref="E30">_xlfn.XLOOKUP(A30, Categories!A:A, Categories!C:C, "Check subcategory", 0)</f>
        <v>Check subcategory</v>
      </c>
    </row>
    <row r="31">
      <c r="D31" s="7" t="str">
        <f t="array" ref="D31">_xlfn.XLOOKUP(A31, Categories!A:A, Categories!B:B, "Check Category", 0)</f>
        <v>Check Category</v>
      </c>
      <c r="E31" s="7" t="str">
        <f t="array" ref="E31">_xlfn.XLOOKUP(A31, Categories!A:A, Categories!C:C, "Check subcategory", 0)</f>
        <v>Check subcategory</v>
      </c>
    </row>
    <row r="32">
      <c r="D32" s="7" t="str">
        <f t="array" ref="D32">_xlfn.XLOOKUP(A32, Categories!A:A, Categories!B:B, "Check Category", 0)</f>
        <v>Check Category</v>
      </c>
      <c r="E32" s="7" t="str">
        <f t="array" ref="E32">_xlfn.XLOOKUP(A32, Categories!A:A, Categories!C:C, "Check subcategory", 0)</f>
        <v>Check subcategory</v>
      </c>
    </row>
    <row r="33">
      <c r="D33" s="7" t="str">
        <f t="array" ref="D33">_xlfn.XLOOKUP(A33, Categories!A:A, Categories!B:B, "Check Category", 0)</f>
        <v>Check Category</v>
      </c>
      <c r="E33" s="7" t="str">
        <f t="array" ref="E33">_xlfn.XLOOKUP(A33, Categories!A:A, Categories!C:C, "Check subcategory", 0)</f>
        <v>Check subcategory</v>
      </c>
    </row>
    <row r="34">
      <c r="D34" s="7" t="str">
        <f t="array" ref="D34">_xlfn.XLOOKUP(A34, Categories!A:A, Categories!B:B, "Check Category", 0)</f>
        <v>Check Category</v>
      </c>
      <c r="E34" s="7" t="str">
        <f t="array" ref="E34">_xlfn.XLOOKUP(A34, Categories!A:A, Categories!C:C, "Check subcategory", 0)</f>
        <v>Check subcategory</v>
      </c>
    </row>
    <row r="35">
      <c r="D35" s="7" t="str">
        <f t="array" ref="D35">_xlfn.XLOOKUP(A35, Categories!A:A, Categories!B:B, "Check Category", 0)</f>
        <v>Check Category</v>
      </c>
      <c r="E35" s="7" t="str">
        <f t="array" ref="E35">_xlfn.XLOOKUP(A35, Categories!A:A, Categories!C:C, "Check subcategory", 0)</f>
        <v>Check subcategory</v>
      </c>
    </row>
    <row r="36">
      <c r="D36" s="7" t="str">
        <f t="array" ref="D36">_xlfn.XLOOKUP(A36, Categories!A:A, Categories!B:B, "Check Category", 0)</f>
        <v>Check Category</v>
      </c>
      <c r="E36" s="7" t="str">
        <f t="array" ref="E36">_xlfn.XLOOKUP(A36, Categories!A:A, Categories!C:C, "Check subcategory", 0)</f>
        <v>Check subcategory</v>
      </c>
    </row>
    <row r="37">
      <c r="D37" s="7" t="str">
        <f t="array" ref="D37">_xlfn.XLOOKUP(A37, Categories!A:A, Categories!B:B, "Check Category", 0)</f>
        <v>Check Category</v>
      </c>
      <c r="E37" s="7" t="str">
        <f t="array" ref="E37">_xlfn.XLOOKUP(A37, Categories!A:A, Categories!C:C, "Check subcategory", 0)</f>
        <v>Check subcategory</v>
      </c>
    </row>
    <row r="38">
      <c r="D38" s="7" t="str">
        <f t="array" ref="D38">_xlfn.XLOOKUP(A38, Categories!A:A, Categories!B:B, "Check Category", 0)</f>
        <v>Check Category</v>
      </c>
      <c r="E38" s="7" t="str">
        <f t="array" ref="E38">_xlfn.XLOOKUP(A38, Categories!A:A, Categories!C:C, "Check subcategory", 0)</f>
        <v>Check subcategory</v>
      </c>
    </row>
    <row r="39">
      <c r="D39" s="7" t="str">
        <f t="array" ref="D39">_xlfn.XLOOKUP(A39, Categories!A:A, Categories!B:B, "Check Category", 0)</f>
        <v>Check Category</v>
      </c>
      <c r="E39" s="7" t="str">
        <f t="array" ref="E39">_xlfn.XLOOKUP(A39, Categories!A:A, Categories!C:C, "Check subcategory", 0)</f>
        <v>Check subcategory</v>
      </c>
    </row>
    <row r="40">
      <c r="D40" s="7" t="str">
        <f t="array" ref="D40">_xlfn.XLOOKUP(A40, Categories!A:A, Categories!B:B, "Check Category", 0)</f>
        <v>Check Category</v>
      </c>
      <c r="E40" s="7" t="str">
        <f t="array" ref="E40">_xlfn.XLOOKUP(A40, Categories!A:A, Categories!C:C, "Check subcategory", 0)</f>
        <v>Check subcategory</v>
      </c>
    </row>
    <row r="41">
      <c r="D41" s="7" t="str">
        <f t="array" ref="D41">_xlfn.XLOOKUP(A41, Categories!A:A, Categories!B:B, "Check Category", 0)</f>
        <v>Check Category</v>
      </c>
      <c r="E41" s="7" t="str">
        <f t="array" ref="E41">_xlfn.XLOOKUP(A41, Categories!A:A, Categories!C:C, "Check subcategory", 0)</f>
        <v>Check subcategory</v>
      </c>
    </row>
    <row r="42">
      <c r="D42" s="7" t="str">
        <f t="array" ref="D42">_xlfn.XLOOKUP(A42, Categories!A:A, Categories!B:B, "Check Category", 0)</f>
        <v>Check Category</v>
      </c>
      <c r="E42" s="7" t="str">
        <f t="array" ref="E42">_xlfn.XLOOKUP(A42, Categories!A:A, Categories!C:C, "Check subcategory", 0)</f>
        <v>Check subcategory</v>
      </c>
    </row>
    <row r="43">
      <c r="D43" s="7" t="str">
        <f t="array" ref="D43">_xlfn.XLOOKUP(A43, Categories!A:A, Categories!B:B, "Check Category", 0)</f>
        <v>Check Category</v>
      </c>
      <c r="E43" s="7" t="str">
        <f t="array" ref="E43">_xlfn.XLOOKUP(A43, Categories!A:A, Categories!C:C, "Check subcategory", 0)</f>
        <v>Check subcategory</v>
      </c>
    </row>
    <row r="44">
      <c r="D44" s="7" t="str">
        <f t="array" ref="D44">_xlfn.XLOOKUP(A44, Categories!A:A, Categories!B:B, "Check Category", 0)</f>
        <v>Check Category</v>
      </c>
      <c r="E44" s="7" t="str">
        <f t="array" ref="E44">_xlfn.XLOOKUP(A44, Categories!A:A, Categories!C:C, "Check subcategory", 0)</f>
        <v>Check subcategory</v>
      </c>
    </row>
    <row r="45">
      <c r="D45" s="7" t="str">
        <f t="array" ref="D45">_xlfn.XLOOKUP(A45, Categories!A:A, Categories!B:B, "Check Category", 0)</f>
        <v>Check Category</v>
      </c>
      <c r="E45" s="7" t="str">
        <f t="array" ref="E45">_xlfn.XLOOKUP(A45, Categories!A:A, Categories!C:C, "Check subcategory", 0)</f>
        <v>Check subcategory</v>
      </c>
    </row>
    <row r="46">
      <c r="D46" s="7" t="str">
        <f t="array" ref="D46">_xlfn.XLOOKUP(A46, Categories!A:A, Categories!B:B, "Check Category", 0)</f>
        <v>Check Category</v>
      </c>
      <c r="E46" s="7" t="str">
        <f t="array" ref="E46">_xlfn.XLOOKUP(A46, Categories!A:A, Categories!C:C, "Check subcategory", 0)</f>
        <v>Check subcategory</v>
      </c>
    </row>
    <row r="47">
      <c r="D47" s="7" t="str">
        <f t="array" ref="D47">_xlfn.XLOOKUP(A47, Categories!A:A, Categories!B:B, "Check Category", 0)</f>
        <v>Check Category</v>
      </c>
      <c r="E47" s="7" t="str">
        <f t="array" ref="E47">_xlfn.XLOOKUP(A47, Categories!A:A, Categories!C:C, "Check subcategory", 0)</f>
        <v>Check subcategory</v>
      </c>
    </row>
    <row r="48">
      <c r="D48" s="7" t="str">
        <f t="array" ref="D48">_xlfn.XLOOKUP(A48, Categories!A:A, Categories!B:B, "Check Category", 0)</f>
        <v>Check Category</v>
      </c>
      <c r="E48" s="7" t="str">
        <f t="array" ref="E48">_xlfn.XLOOKUP(A48, Categories!A:A, Categories!C:C, "Check subcategory", 0)</f>
        <v>Check subcategory</v>
      </c>
    </row>
    <row r="49">
      <c r="D49" s="7" t="str">
        <f t="array" ref="D49">_xlfn.XLOOKUP(A49, Categories!A:A, Categories!B:B, "Check Category", 0)</f>
        <v>Check Category</v>
      </c>
      <c r="E49" s="7" t="str">
        <f t="array" ref="E49">_xlfn.XLOOKUP(A49, Categories!A:A, Categories!C:C, "Check subcategory", 0)</f>
        <v>Check subcategory</v>
      </c>
    </row>
    <row r="50">
      <c r="D50" s="7" t="str">
        <f t="array" ref="D50">_xlfn.XLOOKUP(A50, Categories!A:A, Categories!B:B, "Check Category", 0)</f>
        <v>Check Category</v>
      </c>
      <c r="E50" s="7" t="str">
        <f t="array" ref="E50">_xlfn.XLOOKUP(A50, Categories!A:A, Categories!C:C, "Check subcategory", 0)</f>
        <v>Check subcategory</v>
      </c>
    </row>
    <row r="51">
      <c r="D51" s="7" t="str">
        <f t="array" ref="D51">_xlfn.XLOOKUP(A51, Categories!A:A, Categories!B:B, "Check Category", 0)</f>
        <v>Check Category</v>
      </c>
      <c r="E51" s="7" t="str">
        <f t="array" ref="E51">_xlfn.XLOOKUP(A51, Categories!A:A, Categories!C:C, "Check subcategory", 0)</f>
        <v>Check subcategory</v>
      </c>
    </row>
    <row r="52">
      <c r="D52" s="7" t="str">
        <f t="array" ref="D52">_xlfn.XLOOKUP(A52, Categories!A:A, Categories!B:B, "Check Category", 0)</f>
        <v>Check Category</v>
      </c>
      <c r="E52" s="7" t="str">
        <f t="array" ref="E52">_xlfn.XLOOKUP(A52, Categories!A:A, Categories!C:C, "Check subcategory", 0)</f>
        <v>Check subcategory</v>
      </c>
    </row>
    <row r="53">
      <c r="D53" s="7" t="str">
        <f t="array" ref="D53">_xlfn.XLOOKUP(A53, Categories!A:A, Categories!B:B, "Check Category", 0)</f>
        <v>Check Category</v>
      </c>
      <c r="E53" s="7" t="str">
        <f t="array" ref="E53">_xlfn.XLOOKUP(A53, Categories!A:A, Categories!C:C, "Check subcategory", 0)</f>
        <v>Check subcategory</v>
      </c>
    </row>
    <row r="54">
      <c r="D54" s="7" t="str">
        <f t="array" ref="D54">_xlfn.XLOOKUP(A54, Categories!A:A, Categories!B:B, "Check Category", 0)</f>
        <v>Check Category</v>
      </c>
      <c r="E54" s="7" t="str">
        <f t="array" ref="E54">_xlfn.XLOOKUP(A54, Categories!A:A, Categories!C:C, "Check subcategory", 0)</f>
        <v>Check subcategory</v>
      </c>
    </row>
    <row r="55">
      <c r="D55" s="7" t="str">
        <f t="array" ref="D55">_xlfn.XLOOKUP(A55, Categories!A:A, Categories!B:B, "Check Category", 0)</f>
        <v>Check Category</v>
      </c>
      <c r="E55" s="7" t="str">
        <f t="array" ref="E55">_xlfn.XLOOKUP(A55, Categories!A:A, Categories!C:C, "Check subcategory", 0)</f>
        <v>Check subcategory</v>
      </c>
    </row>
    <row r="56">
      <c r="D56" s="7" t="str">
        <f t="array" ref="D56">_xlfn.XLOOKUP(A56, Categories!A:A, Categories!B:B, "Check Category", 0)</f>
        <v>Check Category</v>
      </c>
      <c r="E56" s="7" t="str">
        <f t="array" ref="E56">_xlfn.XLOOKUP(A56, Categories!A:A, Categories!C:C, "Check subcategory", 0)</f>
        <v>Check subcategory</v>
      </c>
    </row>
    <row r="57">
      <c r="D57" s="7" t="str">
        <f t="array" ref="D57">_xlfn.XLOOKUP(A57, Categories!A:A, Categories!B:B, "Check Category", 0)</f>
        <v>Check Category</v>
      </c>
      <c r="E57" s="7" t="str">
        <f t="array" ref="E57">_xlfn.XLOOKUP(A57, Categories!A:A, Categories!C:C, "Check subcategory", 0)</f>
        <v>Check subcategory</v>
      </c>
    </row>
    <row r="58">
      <c r="D58" s="7" t="str">
        <f t="array" ref="D58">_xlfn.XLOOKUP(A58, Categories!A:A, Categories!B:B, "Check Category", 0)</f>
        <v>Check Category</v>
      </c>
      <c r="E58" s="7" t="str">
        <f t="array" ref="E58">_xlfn.XLOOKUP(A58, Categories!A:A, Categories!C:C, "Check subcategory", 0)</f>
        <v>Check subcategory</v>
      </c>
    </row>
    <row r="59">
      <c r="D59" s="7" t="str">
        <f t="array" ref="D59">_xlfn.XLOOKUP(A59, Categories!A:A, Categories!B:B, "Check Category", 0)</f>
        <v>Check Category</v>
      </c>
      <c r="E59" s="7" t="str">
        <f t="array" ref="E59">_xlfn.XLOOKUP(A59, Categories!A:A, Categories!C:C, "Check subcategory", 0)</f>
        <v>Check subcategory</v>
      </c>
    </row>
    <row r="60">
      <c r="D60" s="7" t="str">
        <f t="array" ref="D60">_xlfn.XLOOKUP(A60, Categories!A:A, Categories!B:B, "Check Category", 0)</f>
        <v>Check Category</v>
      </c>
      <c r="E60" s="7" t="str">
        <f t="array" ref="E60">_xlfn.XLOOKUP(A60, Categories!A:A, Categories!C:C, "Check subcategory", 0)</f>
        <v>Check subcategory</v>
      </c>
    </row>
    <row r="61">
      <c r="D61" s="7" t="str">
        <f t="array" ref="D61">_xlfn.XLOOKUP(A61, Categories!A:A, Categories!B:B, "Check Category", 0)</f>
        <v>Check Category</v>
      </c>
      <c r="E61" s="7" t="str">
        <f t="array" ref="E61">_xlfn.XLOOKUP(A61, Categories!A:A, Categories!C:C, "Check subcategory", 0)</f>
        <v>Check subcategory</v>
      </c>
    </row>
    <row r="62">
      <c r="D62" s="7" t="str">
        <f t="array" ref="D62">_xlfn.XLOOKUP(A62, Categories!A:A, Categories!B:B, "Check Category", 0)</f>
        <v>Check Category</v>
      </c>
      <c r="E62" s="7" t="str">
        <f t="array" ref="E62">_xlfn.XLOOKUP(A62, Categories!A:A, Categories!C:C, "Check subcategory", 0)</f>
        <v>Check subcategory</v>
      </c>
    </row>
    <row r="63">
      <c r="D63" s="7" t="str">
        <f t="array" ref="D63">_xlfn.XLOOKUP(A63, Categories!A:A, Categories!B:B, "Check Category", 0)</f>
        <v>Check Category</v>
      </c>
      <c r="E63" s="7" t="str">
        <f t="array" ref="E63">_xlfn.XLOOKUP(A63, Categories!A:A, Categories!C:C, "Check subcategory", 0)</f>
        <v>Check subcategory</v>
      </c>
    </row>
    <row r="64">
      <c r="D64" s="7" t="str">
        <f t="array" ref="D64">_xlfn.XLOOKUP(A64, Categories!A:A, Categories!B:B, "Check Category", 0)</f>
        <v>Check Category</v>
      </c>
      <c r="E64" s="7" t="str">
        <f t="array" ref="E64">_xlfn.XLOOKUP(A64, Categories!A:A, Categories!C:C, "Check subcategory", 0)</f>
        <v>Check subcategory</v>
      </c>
    </row>
    <row r="65">
      <c r="D65" s="7" t="str">
        <f t="array" ref="D65">_xlfn.XLOOKUP(A65, Categories!A:A, Categories!B:B, "Check Category", 0)</f>
        <v>Check Category</v>
      </c>
      <c r="E65" s="7" t="str">
        <f t="array" ref="E65">_xlfn.XLOOKUP(A65, Categories!A:A, Categories!C:C, "Check subcategory", 0)</f>
        <v>Check subcategory</v>
      </c>
    </row>
    <row r="66">
      <c r="D66" s="7" t="str">
        <f t="array" ref="D66">_xlfn.XLOOKUP(A66, Categories!A:A, Categories!B:B, "Check Category", 0)</f>
        <v>Check Category</v>
      </c>
      <c r="E66" s="7" t="str">
        <f t="array" ref="E66">_xlfn.XLOOKUP(A66, Categories!A:A, Categories!C:C, "Check subcategory", 0)</f>
        <v>Check subcategory</v>
      </c>
    </row>
    <row r="67">
      <c r="D67" s="7" t="str">
        <f t="array" ref="D67">_xlfn.XLOOKUP(A67, Categories!A:A, Categories!B:B, "Check Category", 0)</f>
        <v>Check Category</v>
      </c>
      <c r="E67" s="7" t="str">
        <f t="array" ref="E67">_xlfn.XLOOKUP(A67, Categories!A:A, Categories!C:C, "Check subcategory", 0)</f>
        <v>Check subcategory</v>
      </c>
    </row>
    <row r="68">
      <c r="D68" s="7" t="str">
        <f t="array" ref="D68">_xlfn.XLOOKUP(A68, Categories!A:A, Categories!B:B, "Check Category", 0)</f>
        <v>Check Category</v>
      </c>
      <c r="E68" s="7" t="str">
        <f t="array" ref="E68">_xlfn.XLOOKUP(A68, Categories!A:A, Categories!C:C, "Check subcategory", 0)</f>
        <v>Check subcategory</v>
      </c>
    </row>
    <row r="69">
      <c r="D69" s="7" t="str">
        <f t="array" ref="D69">_xlfn.XLOOKUP(A69, Categories!A:A, Categories!B:B, "Check Category", 0)</f>
        <v>Check Category</v>
      </c>
      <c r="E69" s="7" t="str">
        <f t="array" ref="E69">_xlfn.XLOOKUP(A69, Categories!A:A, Categories!C:C, "Check subcategory", 0)</f>
        <v>Check subcategory</v>
      </c>
    </row>
    <row r="70">
      <c r="D70" s="7" t="str">
        <f t="array" ref="D70">_xlfn.XLOOKUP(A70, Categories!A:A, Categories!B:B, "Check Category", 0)</f>
        <v>Check Category</v>
      </c>
      <c r="E70" s="7" t="str">
        <f t="array" ref="E70">_xlfn.XLOOKUP(A70, Categories!A:A, Categories!C:C, "Check subcategory", 0)</f>
        <v>Check subcategory</v>
      </c>
    </row>
    <row r="71">
      <c r="D71" s="7" t="str">
        <f t="array" ref="D71">_xlfn.XLOOKUP(A71, Categories!A:A, Categories!B:B, "Check Category", 0)</f>
        <v>Check Category</v>
      </c>
      <c r="E71" s="7" t="str">
        <f t="array" ref="E71">_xlfn.XLOOKUP(A71, Categories!A:A, Categories!C:C, "Check subcategory", 0)</f>
        <v>Check subcategory</v>
      </c>
    </row>
    <row r="72">
      <c r="D72" s="7" t="str">
        <f t="array" ref="D72">_xlfn.XLOOKUP(A72, Categories!A:A, Categories!B:B, "Check Category", 0)</f>
        <v>Check Category</v>
      </c>
      <c r="E72" s="7" t="str">
        <f t="array" ref="E72">_xlfn.XLOOKUP(A72, Categories!A:A, Categories!C:C, "Check subcategory", 0)</f>
        <v>Check subcategory</v>
      </c>
    </row>
    <row r="73">
      <c r="D73" s="7" t="str">
        <f t="array" ref="D73">_xlfn.XLOOKUP(A73, Categories!A:A, Categories!B:B, "Check Category", 0)</f>
        <v>Check Category</v>
      </c>
      <c r="E73" s="7" t="str">
        <f t="array" ref="E73">_xlfn.XLOOKUP(A73, Categories!A:A, Categories!C:C, "Check subcategory", 0)</f>
        <v>Check subcategory</v>
      </c>
    </row>
    <row r="74">
      <c r="D74" s="7" t="str">
        <f t="array" ref="D74">_xlfn.XLOOKUP(A74, Categories!A:A, Categories!B:B, "Check Category", 0)</f>
        <v>Check Category</v>
      </c>
      <c r="E74" s="7" t="str">
        <f t="array" ref="E74">_xlfn.XLOOKUP(A74, Categories!A:A, Categories!C:C, "Check subcategory", 0)</f>
        <v>Check subcategory</v>
      </c>
    </row>
    <row r="75">
      <c r="D75" s="7" t="str">
        <f t="array" ref="D75">_xlfn.XLOOKUP(A75, Categories!A:A, Categories!B:B, "Check Category", 0)</f>
        <v>Check Category</v>
      </c>
      <c r="E75" s="7" t="str">
        <f t="array" ref="E75">_xlfn.XLOOKUP(A75, Categories!A:A, Categories!C:C, "Check subcategory", 0)</f>
        <v>Check subcategory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8</v>
      </c>
      <c r="B2" s="2" t="s">
        <v>9</v>
      </c>
      <c r="C2" s="2" t="s">
        <v>8</v>
      </c>
    </row>
    <row r="3">
      <c r="A3" s="2" t="s">
        <v>11</v>
      </c>
      <c r="B3" s="2" t="s">
        <v>9</v>
      </c>
      <c r="C3" s="2" t="s">
        <v>11</v>
      </c>
    </row>
    <row r="4">
      <c r="A4" s="2" t="s">
        <v>15</v>
      </c>
      <c r="B4" s="2" t="s">
        <v>9</v>
      </c>
      <c r="C4" s="2" t="s">
        <v>15</v>
      </c>
    </row>
    <row r="5">
      <c r="A5" s="2" t="s">
        <v>20</v>
      </c>
      <c r="B5" s="2" t="s">
        <v>9</v>
      </c>
      <c r="C5" s="2" t="s">
        <v>21</v>
      </c>
    </row>
    <row r="6">
      <c r="A6" s="2" t="s">
        <v>24</v>
      </c>
      <c r="B6" s="2" t="s">
        <v>9</v>
      </c>
      <c r="C6" s="2" t="s">
        <v>24</v>
      </c>
    </row>
    <row r="7">
      <c r="A7" s="2" t="s">
        <v>26</v>
      </c>
      <c r="B7" s="2" t="s">
        <v>9</v>
      </c>
      <c r="C7" s="2" t="s">
        <v>28</v>
      </c>
    </row>
    <row r="8">
      <c r="A8" s="2" t="s">
        <v>30</v>
      </c>
      <c r="B8" s="2" t="s">
        <v>9</v>
      </c>
      <c r="C8" s="2" t="s">
        <v>28</v>
      </c>
    </row>
    <row r="9">
      <c r="A9" s="2" t="s">
        <v>33</v>
      </c>
      <c r="B9" s="2" t="s">
        <v>17</v>
      </c>
      <c r="C9" s="2" t="s">
        <v>35</v>
      </c>
    </row>
    <row r="10">
      <c r="A10" s="2" t="s">
        <v>38</v>
      </c>
      <c r="B10" s="2" t="s">
        <v>17</v>
      </c>
      <c r="C10" s="2" t="s">
        <v>18</v>
      </c>
    </row>
    <row r="11">
      <c r="A11" s="2" t="s">
        <v>40</v>
      </c>
      <c r="B11" s="2" t="s">
        <v>17</v>
      </c>
      <c r="C11" s="2" t="s">
        <v>41</v>
      </c>
    </row>
    <row r="12">
      <c r="A12" s="2" t="s">
        <v>17</v>
      </c>
      <c r="B12" s="2" t="s">
        <v>17</v>
      </c>
      <c r="C12" s="2" t="s">
        <v>28</v>
      </c>
    </row>
    <row r="13">
      <c r="A13" s="2" t="s">
        <v>46</v>
      </c>
      <c r="B13" s="2" t="s">
        <v>48</v>
      </c>
      <c r="C13" s="2" t="s">
        <v>35</v>
      </c>
    </row>
    <row r="14">
      <c r="A14" s="2" t="s">
        <v>49</v>
      </c>
      <c r="B14" s="2" t="s">
        <v>48</v>
      </c>
      <c r="C14" s="2" t="s">
        <v>18</v>
      </c>
    </row>
    <row r="15">
      <c r="A15" s="2" t="s">
        <v>51</v>
      </c>
      <c r="B15" s="2" t="s">
        <v>48</v>
      </c>
      <c r="C15" s="2" t="s">
        <v>41</v>
      </c>
    </row>
    <row r="16">
      <c r="A16" s="2" t="s">
        <v>53</v>
      </c>
      <c r="B16" s="2" t="s">
        <v>13</v>
      </c>
      <c r="C16" s="2" t="s">
        <v>54</v>
      </c>
    </row>
    <row r="17">
      <c r="A17" s="2" t="s">
        <v>13</v>
      </c>
      <c r="B17" s="2" t="s">
        <v>13</v>
      </c>
      <c r="C17" s="2" t="s">
        <v>14</v>
      </c>
    </row>
    <row r="18">
      <c r="A18" s="2" t="s">
        <v>39</v>
      </c>
      <c r="B18" s="2" t="s">
        <v>7</v>
      </c>
      <c r="C18" s="2" t="s">
        <v>39</v>
      </c>
    </row>
    <row r="19">
      <c r="A19" s="2" t="s">
        <v>10</v>
      </c>
      <c r="B19" s="2" t="s">
        <v>7</v>
      </c>
      <c r="C19" s="2" t="s">
        <v>10</v>
      </c>
    </row>
    <row r="20">
      <c r="A20" s="2" t="s">
        <v>62</v>
      </c>
      <c r="B20" s="2" t="s">
        <v>57</v>
      </c>
      <c r="C20" s="2" t="s">
        <v>59</v>
      </c>
    </row>
    <row r="21">
      <c r="A21" s="2" t="s">
        <v>65</v>
      </c>
      <c r="B21" s="2" t="s">
        <v>57</v>
      </c>
      <c r="C21" s="2" t="s">
        <v>59</v>
      </c>
    </row>
    <row r="22">
      <c r="A22" s="2" t="s">
        <v>68</v>
      </c>
      <c r="B22" s="2" t="s">
        <v>57</v>
      </c>
      <c r="C22" s="2" t="s">
        <v>59</v>
      </c>
    </row>
    <row r="23">
      <c r="A23" s="2" t="s">
        <v>71</v>
      </c>
      <c r="B23" s="2" t="s">
        <v>57</v>
      </c>
      <c r="C23" s="2" t="s">
        <v>73</v>
      </c>
    </row>
    <row r="24">
      <c r="A24" s="2" t="s">
        <v>55</v>
      </c>
      <c r="B24" s="2" t="s">
        <v>57</v>
      </c>
      <c r="C24" s="2" t="s">
        <v>59</v>
      </c>
    </row>
    <row r="25">
      <c r="A25" s="2" t="s">
        <v>22</v>
      </c>
      <c r="B25" s="2" t="s">
        <v>22</v>
      </c>
      <c r="C25" s="2" t="s">
        <v>22</v>
      </c>
    </row>
    <row r="26">
      <c r="A26" s="2" t="s">
        <v>23</v>
      </c>
      <c r="B26" s="2" t="s">
        <v>22</v>
      </c>
      <c r="C26" s="2" t="s">
        <v>23</v>
      </c>
    </row>
    <row r="27">
      <c r="A27" s="2" t="s">
        <v>27</v>
      </c>
      <c r="B27" s="2" t="s">
        <v>22</v>
      </c>
      <c r="C27" s="2" t="s">
        <v>27</v>
      </c>
    </row>
    <row r="28">
      <c r="A28" s="2" t="s">
        <v>78</v>
      </c>
      <c r="B28" s="2" t="s">
        <v>22</v>
      </c>
      <c r="C28" s="2" t="s">
        <v>81</v>
      </c>
    </row>
    <row r="29">
      <c r="A29" s="2" t="s">
        <v>25</v>
      </c>
      <c r="B29" s="2" t="s">
        <v>25</v>
      </c>
      <c r="C29" s="2" t="s">
        <v>25</v>
      </c>
    </row>
    <row r="30">
      <c r="A30" s="2" t="s">
        <v>64</v>
      </c>
      <c r="B30" s="2" t="s">
        <v>25</v>
      </c>
      <c r="C30" s="2" t="s">
        <v>64</v>
      </c>
    </row>
    <row r="31">
      <c r="A31" s="2" t="s">
        <v>84</v>
      </c>
      <c r="B31" s="2" t="s">
        <v>25</v>
      </c>
      <c r="C31" s="2" t="s">
        <v>84</v>
      </c>
    </row>
    <row r="32">
      <c r="A32" s="2" t="s">
        <v>85</v>
      </c>
      <c r="B32" s="2" t="s">
        <v>25</v>
      </c>
      <c r="C32" s="2" t="s">
        <v>85</v>
      </c>
    </row>
    <row r="33">
      <c r="A33" s="2" t="s">
        <v>87</v>
      </c>
      <c r="B33" s="2" t="s">
        <v>25</v>
      </c>
      <c r="C33" s="2" t="s">
        <v>87</v>
      </c>
    </row>
    <row r="34">
      <c r="A34" s="2" t="s">
        <v>89</v>
      </c>
      <c r="B34" s="2" t="s">
        <v>90</v>
      </c>
      <c r="C34" s="2" t="s">
        <v>89</v>
      </c>
    </row>
    <row r="35">
      <c r="A35" s="2" t="s">
        <v>93</v>
      </c>
      <c r="B35" s="2" t="s">
        <v>90</v>
      </c>
      <c r="C35" s="2" t="s">
        <v>93</v>
      </c>
    </row>
    <row r="36">
      <c r="A36" s="2" t="s">
        <v>95</v>
      </c>
      <c r="B36" s="2" t="s">
        <v>96</v>
      </c>
      <c r="C36" s="2" t="s">
        <v>35</v>
      </c>
    </row>
    <row r="37">
      <c r="A37" s="2" t="s">
        <v>97</v>
      </c>
      <c r="B37" s="2" t="s">
        <v>96</v>
      </c>
      <c r="C37" s="2" t="s">
        <v>18</v>
      </c>
    </row>
    <row r="38">
      <c r="A38" s="2" t="s">
        <v>98</v>
      </c>
      <c r="B38" s="2" t="s">
        <v>96</v>
      </c>
      <c r="C38" s="2" t="s">
        <v>41</v>
      </c>
    </row>
    <row r="39">
      <c r="A39" s="2" t="s">
        <v>99</v>
      </c>
      <c r="B39" s="2" t="s">
        <v>17</v>
      </c>
      <c r="C39" s="2" t="s">
        <v>35</v>
      </c>
    </row>
    <row r="40">
      <c r="A40" s="2" t="s">
        <v>102</v>
      </c>
      <c r="B40" s="2" t="s">
        <v>103</v>
      </c>
      <c r="C40" s="2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2" t="s">
        <v>0</v>
      </c>
      <c r="B1" s="5" t="s">
        <v>1</v>
      </c>
      <c r="C1" s="2" t="s">
        <v>4</v>
      </c>
      <c r="D1" s="2" t="s">
        <v>2</v>
      </c>
      <c r="E1" s="2" t="s">
        <v>3</v>
      </c>
    </row>
    <row r="2">
      <c r="A2" s="2" t="s">
        <v>5</v>
      </c>
      <c r="B2" s="5">
        <v>46023.0</v>
      </c>
      <c r="C2" s="2">
        <v>20.0</v>
      </c>
    </row>
    <row r="3">
      <c r="A3" s="2" t="s">
        <v>6</v>
      </c>
      <c r="B3" s="5">
        <v>46023.0</v>
      </c>
      <c r="C3" s="2">
        <v>32.0</v>
      </c>
      <c r="D3" s="2" t="s">
        <v>7</v>
      </c>
      <c r="E3" s="2" t="s">
        <v>10</v>
      </c>
    </row>
    <row r="4">
      <c r="A4" s="2" t="s">
        <v>12</v>
      </c>
      <c r="B4" s="5">
        <v>46023.0</v>
      </c>
      <c r="C4" s="2">
        <v>100.0</v>
      </c>
      <c r="D4" s="2" t="s">
        <v>13</v>
      </c>
      <c r="E4" s="2" t="s">
        <v>14</v>
      </c>
    </row>
    <row r="5">
      <c r="A5" s="2" t="s">
        <v>16</v>
      </c>
      <c r="B5" s="5">
        <v>46023.0</v>
      </c>
      <c r="C5" s="2">
        <v>90.0</v>
      </c>
      <c r="D5" s="2" t="s">
        <v>17</v>
      </c>
      <c r="E5" s="2" t="s">
        <v>18</v>
      </c>
    </row>
    <row r="6">
      <c r="A6" s="2" t="s">
        <v>19</v>
      </c>
      <c r="B6" s="5">
        <v>46023.0</v>
      </c>
      <c r="C6" s="2">
        <v>10.0</v>
      </c>
      <c r="D6" s="2" t="s">
        <v>22</v>
      </c>
      <c r="E6" s="2" t="s">
        <v>23</v>
      </c>
    </row>
    <row r="7">
      <c r="A7" s="2" t="s">
        <v>6</v>
      </c>
      <c r="B7" s="5">
        <v>46025.0</v>
      </c>
      <c r="C7" s="2">
        <v>7.0</v>
      </c>
      <c r="D7" s="2" t="s">
        <v>7</v>
      </c>
      <c r="E7" s="2" t="s">
        <v>10</v>
      </c>
    </row>
    <row r="8">
      <c r="A8" s="2" t="s">
        <v>25</v>
      </c>
      <c r="B8" s="5">
        <v>46025.0</v>
      </c>
      <c r="C8" s="2">
        <v>177.0</v>
      </c>
      <c r="D8" s="2" t="s">
        <v>22</v>
      </c>
      <c r="E8" s="2" t="s">
        <v>25</v>
      </c>
    </row>
    <row r="9">
      <c r="A9" s="2" t="s">
        <v>27</v>
      </c>
      <c r="B9" s="5">
        <v>46025.0</v>
      </c>
      <c r="C9" s="2">
        <v>10.0</v>
      </c>
      <c r="D9" s="2" t="s">
        <v>22</v>
      </c>
      <c r="E9" s="2" t="s">
        <v>27</v>
      </c>
    </row>
    <row r="10">
      <c r="A10" s="2" t="s">
        <v>8</v>
      </c>
      <c r="B10" s="5">
        <v>46025.0</v>
      </c>
      <c r="C10" s="2">
        <v>60.0</v>
      </c>
      <c r="D10" s="2" t="s">
        <v>8</v>
      </c>
    </row>
    <row r="11">
      <c r="A11" s="2" t="s">
        <v>11</v>
      </c>
      <c r="B11" s="5">
        <v>46026.0</v>
      </c>
      <c r="C11" s="2">
        <v>1755.0</v>
      </c>
      <c r="D11" s="2" t="s">
        <v>11</v>
      </c>
    </row>
    <row r="12">
      <c r="A12" s="2" t="s">
        <v>20</v>
      </c>
      <c r="B12" s="5">
        <v>46027.0</v>
      </c>
      <c r="C12" s="2">
        <v>526.0</v>
      </c>
      <c r="D12" s="2" t="s">
        <v>34</v>
      </c>
      <c r="E12" s="2" t="s">
        <v>37</v>
      </c>
    </row>
    <row r="13">
      <c r="A13" s="2" t="s">
        <v>19</v>
      </c>
      <c r="B13" s="5">
        <v>46143.0</v>
      </c>
      <c r="C13" s="2">
        <v>50.0</v>
      </c>
      <c r="D13" s="2" t="s">
        <v>22</v>
      </c>
      <c r="E13" s="2" t="s">
        <v>23</v>
      </c>
    </row>
    <row r="14">
      <c r="A14" s="2" t="s">
        <v>6</v>
      </c>
      <c r="B14" s="5">
        <v>46029.0</v>
      </c>
      <c r="C14" s="2">
        <v>11.0</v>
      </c>
      <c r="D14" s="2" t="s">
        <v>7</v>
      </c>
      <c r="E14" s="2" t="s">
        <v>10</v>
      </c>
    </row>
    <row r="15">
      <c r="A15" s="2" t="s">
        <v>39</v>
      </c>
      <c r="B15" s="5">
        <v>46029.0</v>
      </c>
      <c r="C15" s="2">
        <v>50.0</v>
      </c>
      <c r="D15" s="2" t="s">
        <v>7</v>
      </c>
      <c r="E15" s="2" t="s">
        <v>39</v>
      </c>
    </row>
    <row r="16">
      <c r="A16" s="2" t="s">
        <v>25</v>
      </c>
      <c r="B16" s="5">
        <v>46029.0</v>
      </c>
      <c r="C16" s="2">
        <v>147.0</v>
      </c>
      <c r="D16" s="2" t="s">
        <v>22</v>
      </c>
      <c r="E16" s="2" t="s">
        <v>25</v>
      </c>
    </row>
    <row r="17">
      <c r="A17" s="2" t="s">
        <v>43</v>
      </c>
      <c r="B17" s="5">
        <v>46029.0</v>
      </c>
      <c r="C17" s="2">
        <v>350.0</v>
      </c>
    </row>
    <row r="18">
      <c r="A18" s="2" t="s">
        <v>45</v>
      </c>
      <c r="B18" s="5">
        <v>46029.0</v>
      </c>
      <c r="C18" s="2">
        <v>1660.0</v>
      </c>
      <c r="D18" s="2" t="s">
        <v>22</v>
      </c>
      <c r="E18" s="2" t="s">
        <v>25</v>
      </c>
    </row>
    <row r="19">
      <c r="A19" s="2" t="s">
        <v>47</v>
      </c>
      <c r="B19" s="5">
        <v>46029.0</v>
      </c>
      <c r="C19" s="2">
        <v>50.0</v>
      </c>
      <c r="D19" s="2" t="s">
        <v>22</v>
      </c>
    </row>
    <row r="20">
      <c r="A20" s="2" t="s">
        <v>27</v>
      </c>
      <c r="B20" s="5">
        <v>46029.0</v>
      </c>
      <c r="C20" s="2">
        <v>270.0</v>
      </c>
    </row>
    <row r="21">
      <c r="A21" s="2" t="s">
        <v>15</v>
      </c>
      <c r="B21" s="5">
        <v>46029.0</v>
      </c>
      <c r="C21" s="2">
        <v>900.0</v>
      </c>
      <c r="D21" s="2" t="s">
        <v>34</v>
      </c>
      <c r="E21" s="2" t="s">
        <v>15</v>
      </c>
    </row>
    <row r="22">
      <c r="A22" s="2" t="s">
        <v>19</v>
      </c>
      <c r="B22" s="5">
        <v>46029.0</v>
      </c>
      <c r="C22" s="2">
        <v>110.0</v>
      </c>
      <c r="D22" s="2" t="s">
        <v>22</v>
      </c>
      <c r="E22" s="2" t="s">
        <v>23</v>
      </c>
    </row>
    <row r="23">
      <c r="A23" s="2" t="s">
        <v>19</v>
      </c>
      <c r="B23" s="5">
        <v>46030.0</v>
      </c>
      <c r="C23" s="2">
        <v>100.0</v>
      </c>
      <c r="D23" s="2" t="s">
        <v>22</v>
      </c>
      <c r="E23" s="2" t="s">
        <v>23</v>
      </c>
    </row>
    <row r="24">
      <c r="A24" s="2" t="s">
        <v>56</v>
      </c>
      <c r="B24" s="5">
        <v>46030.0</v>
      </c>
      <c r="C24" s="2">
        <v>95.0</v>
      </c>
    </row>
    <row r="25">
      <c r="A25" s="2" t="s">
        <v>58</v>
      </c>
      <c r="B25" s="5">
        <v>46030.0</v>
      </c>
      <c r="C25" s="2">
        <v>45.0</v>
      </c>
    </row>
    <row r="26">
      <c r="A26" s="2" t="s">
        <v>60</v>
      </c>
      <c r="B26" s="5">
        <v>46030.0</v>
      </c>
      <c r="C26" s="2">
        <v>235.0</v>
      </c>
      <c r="D26" s="2" t="s">
        <v>34</v>
      </c>
      <c r="E26" s="2" t="s">
        <v>15</v>
      </c>
    </row>
    <row r="27">
      <c r="A27" s="2" t="s">
        <v>25</v>
      </c>
      <c r="B27" s="5">
        <v>46031.0</v>
      </c>
      <c r="C27" s="2">
        <v>485.0</v>
      </c>
      <c r="D27" s="2" t="s">
        <v>22</v>
      </c>
      <c r="E27" s="2" t="s">
        <v>25</v>
      </c>
    </row>
    <row r="28">
      <c r="A28" s="2" t="s">
        <v>61</v>
      </c>
      <c r="B28" s="5">
        <v>46031.0</v>
      </c>
      <c r="C28" s="2">
        <v>1560.0</v>
      </c>
      <c r="D28" s="2" t="s">
        <v>48</v>
      </c>
      <c r="E28" s="2" t="s">
        <v>63</v>
      </c>
    </row>
    <row r="29">
      <c r="A29" s="2" t="s">
        <v>64</v>
      </c>
      <c r="B29" s="5">
        <v>46031.0</v>
      </c>
      <c r="C29" s="2">
        <v>150.0</v>
      </c>
      <c r="D29" s="2" t="s">
        <v>57</v>
      </c>
      <c r="E29" s="2" t="s">
        <v>59</v>
      </c>
    </row>
    <row r="30">
      <c r="A30" s="2" t="s">
        <v>67</v>
      </c>
      <c r="B30" s="5">
        <v>46031.0</v>
      </c>
      <c r="C30" s="2">
        <v>250.0</v>
      </c>
    </row>
    <row r="31">
      <c r="A31" s="2" t="s">
        <v>69</v>
      </c>
      <c r="B31" s="5">
        <v>46031.0</v>
      </c>
      <c r="C31" s="2">
        <v>250.0</v>
      </c>
    </row>
    <row r="32">
      <c r="A32" s="2" t="s">
        <v>70</v>
      </c>
      <c r="B32" s="5">
        <v>46031.0</v>
      </c>
      <c r="C32" s="2">
        <v>250.0</v>
      </c>
    </row>
    <row r="33">
      <c r="A33" s="2" t="s">
        <v>72</v>
      </c>
      <c r="B33" s="5">
        <v>46031.0</v>
      </c>
      <c r="C33" s="2">
        <v>50.0</v>
      </c>
    </row>
    <row r="34">
      <c r="A34" s="2" t="s">
        <v>74</v>
      </c>
      <c r="B34" s="5">
        <v>46031.0</v>
      </c>
      <c r="C34" s="2">
        <v>200.0</v>
      </c>
      <c r="D34" s="2" t="s">
        <v>34</v>
      </c>
      <c r="E34" s="2" t="s">
        <v>75</v>
      </c>
    </row>
    <row r="35">
      <c r="A35" s="2" t="s">
        <v>39</v>
      </c>
      <c r="B35" s="5">
        <v>46031.0</v>
      </c>
      <c r="C35" s="2">
        <v>200.0</v>
      </c>
      <c r="D35" s="2" t="s">
        <v>7</v>
      </c>
      <c r="E35" s="2" t="s">
        <v>39</v>
      </c>
    </row>
    <row r="36">
      <c r="A36" s="2" t="s">
        <v>23</v>
      </c>
      <c r="B36" s="5">
        <v>46032.0</v>
      </c>
      <c r="C36" s="2">
        <v>790.0</v>
      </c>
      <c r="D36" s="2" t="s">
        <v>22</v>
      </c>
      <c r="E36" s="2" t="s">
        <v>23</v>
      </c>
    </row>
    <row r="37">
      <c r="A37" s="2" t="s">
        <v>25</v>
      </c>
      <c r="B37" s="5">
        <v>46032.0</v>
      </c>
      <c r="C37" s="2">
        <v>188.0</v>
      </c>
      <c r="D37" s="2" t="s">
        <v>22</v>
      </c>
      <c r="E37" s="2" t="s">
        <v>25</v>
      </c>
    </row>
    <row r="38">
      <c r="A38" s="2" t="s">
        <v>39</v>
      </c>
      <c r="B38" s="5">
        <v>46032.0</v>
      </c>
      <c r="C38" s="2">
        <v>70.0</v>
      </c>
      <c r="D38" s="2" t="s">
        <v>7</v>
      </c>
      <c r="E38" s="2" t="s">
        <v>39</v>
      </c>
    </row>
    <row r="39">
      <c r="A39" s="2" t="s">
        <v>77</v>
      </c>
      <c r="B39" s="5">
        <v>46033.0</v>
      </c>
      <c r="C39" s="2">
        <v>3000.0</v>
      </c>
    </row>
    <row r="40">
      <c r="A40" s="2" t="s">
        <v>6</v>
      </c>
      <c r="B40" s="5">
        <v>46033.0</v>
      </c>
      <c r="C40" s="2">
        <v>22.0</v>
      </c>
      <c r="D40" s="2" t="s">
        <v>7</v>
      </c>
      <c r="E40" s="2" t="s">
        <v>10</v>
      </c>
    </row>
    <row r="41">
      <c r="A41" s="2" t="s">
        <v>6</v>
      </c>
      <c r="B41" s="5">
        <v>46035.0</v>
      </c>
      <c r="C41" s="2">
        <v>13.0</v>
      </c>
      <c r="D41" s="2" t="s">
        <v>7</v>
      </c>
      <c r="E41" s="2" t="s">
        <v>10</v>
      </c>
    </row>
    <row r="42">
      <c r="A42" s="2" t="s">
        <v>82</v>
      </c>
      <c r="B42" s="5">
        <v>46035.0</v>
      </c>
      <c r="C42" s="2">
        <v>40.0</v>
      </c>
      <c r="D42" s="2" t="s">
        <v>22</v>
      </c>
      <c r="E42" s="2" t="s">
        <v>23</v>
      </c>
    </row>
    <row r="43">
      <c r="A43" s="2" t="s">
        <v>25</v>
      </c>
      <c r="B43" s="5">
        <v>46035.0</v>
      </c>
      <c r="C43" s="2">
        <v>60.0</v>
      </c>
      <c r="D43" s="2" t="s">
        <v>22</v>
      </c>
      <c r="E43" s="2" t="s">
        <v>25</v>
      </c>
    </row>
    <row r="44">
      <c r="A44" s="2" t="s">
        <v>86</v>
      </c>
      <c r="B44" s="5">
        <v>46035.0</v>
      </c>
      <c r="C44" s="2">
        <v>259.0</v>
      </c>
      <c r="D44" s="2" t="s">
        <v>22</v>
      </c>
      <c r="E44" s="2" t="s">
        <v>25</v>
      </c>
    </row>
    <row r="45">
      <c r="A45" s="2" t="s">
        <v>88</v>
      </c>
      <c r="B45" s="5">
        <v>46035.0</v>
      </c>
      <c r="C45" s="2">
        <v>95.0</v>
      </c>
    </row>
    <row r="46">
      <c r="A46" s="2" t="s">
        <v>27</v>
      </c>
      <c r="B46" s="5">
        <v>46035.0</v>
      </c>
      <c r="C46" s="2">
        <v>170.0</v>
      </c>
      <c r="D46" s="2" t="s">
        <v>22</v>
      </c>
      <c r="E46" s="2" t="s">
        <v>27</v>
      </c>
    </row>
    <row r="47">
      <c r="A47" s="2" t="s">
        <v>92</v>
      </c>
      <c r="B47" s="5">
        <v>46035.0</v>
      </c>
      <c r="C47" s="2">
        <v>100.0</v>
      </c>
      <c r="D47" s="2" t="s">
        <v>48</v>
      </c>
      <c r="E47" s="2" t="s">
        <v>94</v>
      </c>
    </row>
    <row r="48">
      <c r="A48" s="2" t="s">
        <v>6</v>
      </c>
      <c r="B48" s="5">
        <v>46035.0</v>
      </c>
      <c r="C48" s="2">
        <v>20.0</v>
      </c>
      <c r="D48" s="2" t="s">
        <v>7</v>
      </c>
      <c r="E48" s="2" t="s">
        <v>10</v>
      </c>
    </row>
    <row r="49">
      <c r="A49" s="2" t="s">
        <v>62</v>
      </c>
      <c r="B49" s="5">
        <v>46035.0</v>
      </c>
      <c r="C49" s="2">
        <v>40.0</v>
      </c>
      <c r="D49" s="2" t="s">
        <v>57</v>
      </c>
      <c r="E49" s="2" t="s">
        <v>59</v>
      </c>
    </row>
    <row r="50">
      <c r="A50" s="2" t="s">
        <v>23</v>
      </c>
      <c r="B50" s="5">
        <v>46036.0</v>
      </c>
      <c r="C50" s="2">
        <v>50.0</v>
      </c>
      <c r="D50" s="2" t="s">
        <v>22</v>
      </c>
      <c r="E50" s="2" t="s">
        <v>23</v>
      </c>
    </row>
    <row r="51">
      <c r="A51" s="2" t="s">
        <v>91</v>
      </c>
      <c r="B51" s="5">
        <v>46036.0</v>
      </c>
      <c r="C51" s="2">
        <v>50.0</v>
      </c>
      <c r="D51" s="2" t="s">
        <v>57</v>
      </c>
      <c r="E51" s="2" t="s">
        <v>59</v>
      </c>
    </row>
    <row r="52">
      <c r="A52" s="2" t="s">
        <v>100</v>
      </c>
      <c r="B52" s="5">
        <v>46037.0</v>
      </c>
      <c r="C52" s="2">
        <v>703.0</v>
      </c>
      <c r="D52" s="2" t="s">
        <v>17</v>
      </c>
      <c r="E52" s="2" t="s">
        <v>35</v>
      </c>
    </row>
    <row r="53">
      <c r="A53" s="2" t="s">
        <v>55</v>
      </c>
      <c r="B53" s="5">
        <v>46038.0</v>
      </c>
      <c r="C53" s="2">
        <v>40.0</v>
      </c>
      <c r="D53" s="2" t="s">
        <v>57</v>
      </c>
      <c r="E53" s="2" t="s">
        <v>59</v>
      </c>
    </row>
    <row r="54">
      <c r="A54" s="2" t="s">
        <v>104</v>
      </c>
      <c r="B54" s="5">
        <v>46038.0</v>
      </c>
      <c r="C54" s="2">
        <v>89.0</v>
      </c>
      <c r="D54" s="2" t="s">
        <v>7</v>
      </c>
      <c r="E54" s="2" t="s">
        <v>10</v>
      </c>
    </row>
    <row r="55">
      <c r="A55" s="2" t="s">
        <v>105</v>
      </c>
      <c r="B55" s="5">
        <v>46038.0</v>
      </c>
      <c r="C55" s="2">
        <v>101.0</v>
      </c>
    </row>
    <row r="56">
      <c r="A56" s="2" t="s">
        <v>64</v>
      </c>
      <c r="B56" s="5">
        <v>46038.0</v>
      </c>
      <c r="C56" s="2">
        <v>120.0</v>
      </c>
    </row>
    <row r="57">
      <c r="A57" s="2" t="s">
        <v>10</v>
      </c>
      <c r="B57" s="5">
        <v>46038.0</v>
      </c>
      <c r="C57" s="2">
        <v>19.0</v>
      </c>
      <c r="D57" s="2" t="s">
        <v>7</v>
      </c>
      <c r="E57" s="2" t="s">
        <v>10</v>
      </c>
    </row>
    <row r="58">
      <c r="A58" s="2" t="s">
        <v>52</v>
      </c>
      <c r="B58" s="5">
        <v>46038.0</v>
      </c>
      <c r="C58" s="2">
        <v>100.0</v>
      </c>
    </row>
    <row r="59">
      <c r="A59" s="2" t="s">
        <v>8</v>
      </c>
      <c r="B59" s="5">
        <v>46039.0</v>
      </c>
      <c r="C59" s="2">
        <v>40.0</v>
      </c>
    </row>
    <row r="60">
      <c r="A60" s="2" t="s">
        <v>107</v>
      </c>
      <c r="B60" s="5">
        <v>46039.0</v>
      </c>
      <c r="C60" s="2">
        <v>50.0</v>
      </c>
    </row>
    <row r="61">
      <c r="A61" s="2" t="s">
        <v>10</v>
      </c>
      <c r="B61" s="5">
        <v>46040.0</v>
      </c>
      <c r="C61" s="2">
        <v>22.0</v>
      </c>
      <c r="D61" s="2" t="s">
        <v>7</v>
      </c>
      <c r="E61" s="2" t="s">
        <v>10</v>
      </c>
    </row>
    <row r="62">
      <c r="A62" s="2" t="s">
        <v>105</v>
      </c>
      <c r="B62" s="5">
        <v>46040.0</v>
      </c>
      <c r="C62" s="2">
        <v>228.0</v>
      </c>
    </row>
    <row r="63">
      <c r="A63" s="2" t="s">
        <v>55</v>
      </c>
      <c r="B63" s="5">
        <v>46040.0</v>
      </c>
      <c r="C63" s="2">
        <v>10.0</v>
      </c>
      <c r="D63" s="2" t="s">
        <v>57</v>
      </c>
      <c r="E63" s="2" t="s">
        <v>59</v>
      </c>
    </row>
    <row r="64">
      <c r="A64" s="2" t="s">
        <v>25</v>
      </c>
      <c r="B64" s="5">
        <v>46041.0</v>
      </c>
      <c r="C64" s="2">
        <v>667.0</v>
      </c>
      <c r="D64" s="2" t="s">
        <v>22</v>
      </c>
      <c r="E64" s="2" t="s">
        <v>25</v>
      </c>
    </row>
    <row r="65">
      <c r="A65" s="2" t="s">
        <v>17</v>
      </c>
      <c r="B65" s="5">
        <v>46041.0</v>
      </c>
      <c r="C65" s="2">
        <v>64.0</v>
      </c>
      <c r="D65" s="2" t="s">
        <v>17</v>
      </c>
      <c r="E65" s="2" t="s">
        <v>35</v>
      </c>
    </row>
    <row r="66">
      <c r="A66" s="2" t="s">
        <v>26</v>
      </c>
      <c r="B66" s="5">
        <v>46042.0</v>
      </c>
      <c r="C66" s="2">
        <v>400.0</v>
      </c>
      <c r="D66" s="2" t="s">
        <v>26</v>
      </c>
      <c r="E66" s="2" t="s">
        <v>108</v>
      </c>
    </row>
    <row r="67">
      <c r="A67" s="2" t="s">
        <v>10</v>
      </c>
      <c r="B67" s="5">
        <v>46042.0</v>
      </c>
      <c r="C67" s="2">
        <v>50.0</v>
      </c>
      <c r="D67" s="2" t="s">
        <v>7</v>
      </c>
      <c r="E67" s="2" t="s">
        <v>10</v>
      </c>
    </row>
    <row r="68">
      <c r="A68" s="2" t="s">
        <v>39</v>
      </c>
      <c r="B68" s="5">
        <v>46042.0</v>
      </c>
      <c r="C68" s="2">
        <v>100.0</v>
      </c>
      <c r="D68" s="2" t="s">
        <v>7</v>
      </c>
      <c r="E68" s="2" t="s">
        <v>39</v>
      </c>
    </row>
    <row r="69">
      <c r="A69" s="2" t="s">
        <v>109</v>
      </c>
      <c r="B69" s="5">
        <v>46042.0</v>
      </c>
      <c r="C69" s="2">
        <v>1000.0</v>
      </c>
      <c r="D69" s="2" t="s">
        <v>48</v>
      </c>
    </row>
    <row r="70">
      <c r="A70" s="2" t="s">
        <v>110</v>
      </c>
      <c r="B70" s="5">
        <v>46042.0</v>
      </c>
      <c r="C70" s="2">
        <v>3340.0</v>
      </c>
      <c r="D70" s="2" t="s">
        <v>48</v>
      </c>
      <c r="E70" s="2" t="s">
        <v>18</v>
      </c>
    </row>
    <row r="71">
      <c r="A71" s="2" t="s">
        <v>57</v>
      </c>
      <c r="B71" s="5">
        <v>46042.0</v>
      </c>
      <c r="C71" s="2">
        <v>200.0</v>
      </c>
    </row>
    <row r="72">
      <c r="A72" s="2" t="s">
        <v>55</v>
      </c>
      <c r="B72" s="5">
        <v>46042.0</v>
      </c>
      <c r="C72" s="2">
        <v>40.0</v>
      </c>
    </row>
    <row r="73">
      <c r="A73" s="2" t="s">
        <v>17</v>
      </c>
      <c r="B73" s="5">
        <v>46042.0</v>
      </c>
      <c r="C73" s="2">
        <v>45.0</v>
      </c>
      <c r="D73" s="2" t="s">
        <v>17</v>
      </c>
      <c r="E73" s="2" t="s">
        <v>35</v>
      </c>
    </row>
    <row r="74">
      <c r="A74" s="2" t="s">
        <v>111</v>
      </c>
      <c r="B74" s="5">
        <v>46042.0</v>
      </c>
      <c r="C74" s="2">
        <v>2625.0</v>
      </c>
      <c r="D74" s="2" t="s">
        <v>17</v>
      </c>
      <c r="E74" s="2" t="s">
        <v>18</v>
      </c>
    </row>
    <row r="75">
      <c r="A75" s="2" t="s">
        <v>55</v>
      </c>
      <c r="B75" s="5">
        <v>46042.0</v>
      </c>
      <c r="C75" s="2">
        <v>20.0</v>
      </c>
      <c r="D75" s="2" t="s">
        <v>57</v>
      </c>
      <c r="E75" s="2" t="s">
        <v>59</v>
      </c>
    </row>
    <row r="76">
      <c r="A76" s="2" t="s">
        <v>10</v>
      </c>
      <c r="B76" s="5">
        <v>46042.0</v>
      </c>
      <c r="C76" s="2">
        <v>52.0</v>
      </c>
      <c r="D76" s="2" t="s">
        <v>7</v>
      </c>
      <c r="E76" s="2" t="s">
        <v>10</v>
      </c>
    </row>
    <row r="77">
      <c r="A77" s="2" t="s">
        <v>39</v>
      </c>
      <c r="B77" s="5">
        <v>46042.0</v>
      </c>
      <c r="C77" s="2">
        <v>80.0</v>
      </c>
      <c r="D77" s="2" t="s">
        <v>7</v>
      </c>
      <c r="E77" s="2" t="s">
        <v>39</v>
      </c>
    </row>
    <row r="78">
      <c r="A78" s="2" t="s">
        <v>112</v>
      </c>
      <c r="B78" s="5">
        <v>46042.0</v>
      </c>
      <c r="C78" s="2">
        <v>65.0</v>
      </c>
    </row>
    <row r="79">
      <c r="A79" s="2" t="s">
        <v>17</v>
      </c>
      <c r="B79" s="5">
        <v>46042.0</v>
      </c>
      <c r="C79" s="2">
        <v>1697.0</v>
      </c>
      <c r="D79" s="2" t="s">
        <v>17</v>
      </c>
      <c r="E79" s="2" t="s">
        <v>35</v>
      </c>
    </row>
    <row r="80">
      <c r="A80" s="2" t="s">
        <v>17</v>
      </c>
      <c r="B80" s="5">
        <v>46042.0</v>
      </c>
      <c r="C80" s="2">
        <v>698.0</v>
      </c>
      <c r="D80" s="2" t="s">
        <v>17</v>
      </c>
      <c r="E80" s="2" t="s">
        <v>18</v>
      </c>
    </row>
    <row r="81">
      <c r="A81" s="2" t="s">
        <v>10</v>
      </c>
      <c r="B81" s="5">
        <v>46043.0</v>
      </c>
      <c r="C81" s="2">
        <v>38.0</v>
      </c>
    </row>
    <row r="82">
      <c r="A82" s="2" t="s">
        <v>39</v>
      </c>
      <c r="B82" s="5">
        <v>46043.0</v>
      </c>
      <c r="C82" s="2">
        <v>70.0</v>
      </c>
    </row>
    <row r="83">
      <c r="A83" s="2" t="s">
        <v>48</v>
      </c>
      <c r="B83" s="5">
        <v>46043.0</v>
      </c>
      <c r="C83" s="2">
        <v>37.0</v>
      </c>
      <c r="D83" s="2" t="s">
        <v>17</v>
      </c>
      <c r="E83" s="2" t="s">
        <v>18</v>
      </c>
    </row>
    <row r="84">
      <c r="A84" s="2" t="s">
        <v>27</v>
      </c>
      <c r="B84" s="5">
        <v>46043.0</v>
      </c>
      <c r="C84" s="2">
        <v>270.0</v>
      </c>
      <c r="D84" s="2" t="s">
        <v>22</v>
      </c>
      <c r="E84" s="2" t="s">
        <v>27</v>
      </c>
    </row>
    <row r="85">
      <c r="A85" s="2" t="s">
        <v>23</v>
      </c>
      <c r="B85" s="5">
        <v>46043.0</v>
      </c>
      <c r="C85" s="2">
        <v>50.0</v>
      </c>
      <c r="D85" s="2" t="s">
        <v>22</v>
      </c>
      <c r="E85" s="2" t="s">
        <v>23</v>
      </c>
    </row>
    <row r="86">
      <c r="A86" s="2" t="s">
        <v>22</v>
      </c>
      <c r="B86" s="5">
        <v>46043.0</v>
      </c>
      <c r="C86" s="2">
        <v>420.0</v>
      </c>
      <c r="D86" s="2" t="s">
        <v>22</v>
      </c>
      <c r="E86" s="2" t="s">
        <v>25</v>
      </c>
    </row>
    <row r="87">
      <c r="A87" s="2" t="s">
        <v>84</v>
      </c>
      <c r="B87" s="5">
        <v>46043.0</v>
      </c>
      <c r="C87" s="2">
        <v>1219.0</v>
      </c>
      <c r="D87" s="2" t="s">
        <v>22</v>
      </c>
      <c r="E87" s="2" t="s">
        <v>113</v>
      </c>
    </row>
    <row r="88">
      <c r="A88" s="2" t="s">
        <v>23</v>
      </c>
      <c r="B88" s="5">
        <v>46043.0</v>
      </c>
      <c r="C88" s="2">
        <v>121.0</v>
      </c>
      <c r="D88" s="2" t="s">
        <v>22</v>
      </c>
      <c r="E88" s="2" t="s">
        <v>23</v>
      </c>
    </row>
    <row r="89">
      <c r="A89" s="2" t="s">
        <v>62</v>
      </c>
      <c r="B89" s="5">
        <v>46043.0</v>
      </c>
      <c r="C89" s="2">
        <v>130.0</v>
      </c>
      <c r="D89" s="2" t="s">
        <v>57</v>
      </c>
      <c r="E89" s="2" t="s">
        <v>59</v>
      </c>
    </row>
    <row r="90">
      <c r="A90" s="2" t="s">
        <v>114</v>
      </c>
      <c r="B90" s="5">
        <v>46043.0</v>
      </c>
      <c r="C90" s="2">
        <v>430.0</v>
      </c>
    </row>
    <row r="91">
      <c r="A91" s="2" t="s">
        <v>7</v>
      </c>
      <c r="B91" s="5">
        <v>46043.0</v>
      </c>
      <c r="C91" s="2">
        <v>112.0</v>
      </c>
      <c r="D91" s="2" t="s">
        <v>7</v>
      </c>
      <c r="E91" s="2" t="s">
        <v>39</v>
      </c>
    </row>
    <row r="92">
      <c r="A92" s="2" t="s">
        <v>115</v>
      </c>
      <c r="B92" s="5">
        <v>46043.0</v>
      </c>
      <c r="C92" s="2">
        <v>180.0</v>
      </c>
      <c r="D92" s="2" t="s">
        <v>17</v>
      </c>
      <c r="E92" s="2" t="s">
        <v>18</v>
      </c>
    </row>
    <row r="93">
      <c r="A93" s="2" t="s">
        <v>10</v>
      </c>
      <c r="B93" s="5">
        <v>46044.0</v>
      </c>
      <c r="C93" s="2">
        <v>38.0</v>
      </c>
      <c r="D93" s="2" t="s">
        <v>7</v>
      </c>
      <c r="E93" s="2" t="s">
        <v>10</v>
      </c>
    </row>
    <row r="94">
      <c r="A94" s="2" t="s">
        <v>39</v>
      </c>
      <c r="B94" s="5">
        <v>46044.0</v>
      </c>
      <c r="C94" s="2">
        <v>60.0</v>
      </c>
      <c r="D94" s="2" t="s">
        <v>7</v>
      </c>
      <c r="E94" s="2" t="s">
        <v>39</v>
      </c>
    </row>
    <row r="95">
      <c r="A95" s="2" t="s">
        <v>116</v>
      </c>
      <c r="B95" s="5">
        <v>46044.0</v>
      </c>
      <c r="C95" s="2">
        <v>42.0</v>
      </c>
      <c r="D95" s="2" t="s">
        <v>22</v>
      </c>
      <c r="E95" s="2" t="s">
        <v>25</v>
      </c>
    </row>
    <row r="96">
      <c r="A96" s="2" t="s">
        <v>10</v>
      </c>
      <c r="B96" s="5">
        <v>46044.0</v>
      </c>
      <c r="C96" s="2">
        <v>42.0</v>
      </c>
    </row>
    <row r="97">
      <c r="A97" s="2" t="s">
        <v>13</v>
      </c>
      <c r="B97" s="5">
        <v>46044.0</v>
      </c>
      <c r="C97" s="2">
        <v>30.0</v>
      </c>
      <c r="D97" s="2" t="s">
        <v>13</v>
      </c>
    </row>
    <row r="98">
      <c r="A98" s="2" t="s">
        <v>117</v>
      </c>
      <c r="B98" s="5">
        <v>46044.0</v>
      </c>
      <c r="C98" s="2">
        <v>35.0</v>
      </c>
      <c r="E98" s="2" t="s">
        <v>35</v>
      </c>
    </row>
    <row r="99">
      <c r="A99" s="2" t="s">
        <v>10</v>
      </c>
      <c r="B99" s="5">
        <v>46044.0</v>
      </c>
      <c r="C99" s="2">
        <v>42.0</v>
      </c>
      <c r="D99" s="2" t="s">
        <v>7</v>
      </c>
      <c r="E99" s="2" t="s">
        <v>10</v>
      </c>
    </row>
    <row r="100">
      <c r="A100" s="2" t="s">
        <v>87</v>
      </c>
      <c r="B100" s="5">
        <v>46044.0</v>
      </c>
      <c r="C100" s="2">
        <v>340.0</v>
      </c>
      <c r="D100" s="2" t="s">
        <v>22</v>
      </c>
      <c r="E100" s="2" t="s">
        <v>25</v>
      </c>
    </row>
    <row r="101">
      <c r="A101" s="2" t="s">
        <v>118</v>
      </c>
      <c r="B101" s="5">
        <v>46044.0</v>
      </c>
      <c r="C101" s="2">
        <v>65.0</v>
      </c>
    </row>
    <row r="102">
      <c r="A102" s="2" t="s">
        <v>23</v>
      </c>
      <c r="B102" s="5">
        <v>46044.0</v>
      </c>
      <c r="C102" s="2">
        <v>50.0</v>
      </c>
      <c r="D102" s="2" t="s">
        <v>22</v>
      </c>
      <c r="E102" s="2" t="s">
        <v>23</v>
      </c>
    </row>
    <row r="103">
      <c r="A103" s="2" t="s">
        <v>119</v>
      </c>
      <c r="B103" s="5">
        <v>46044.0</v>
      </c>
      <c r="C103" s="2">
        <v>268.0</v>
      </c>
    </row>
    <row r="104">
      <c r="A104" s="2" t="s">
        <v>64</v>
      </c>
      <c r="B104" s="5">
        <v>46044.0</v>
      </c>
      <c r="C104" s="2">
        <v>76.0</v>
      </c>
    </row>
    <row r="105">
      <c r="A105" s="2" t="s">
        <v>120</v>
      </c>
      <c r="B105" s="5">
        <v>46044.0</v>
      </c>
      <c r="C105" s="2">
        <v>237.0</v>
      </c>
    </row>
    <row r="106">
      <c r="A106" s="2" t="s">
        <v>25</v>
      </c>
      <c r="B106" s="5">
        <v>46045.0</v>
      </c>
      <c r="C106" s="2">
        <v>820.0</v>
      </c>
      <c r="D106" s="2" t="s">
        <v>22</v>
      </c>
      <c r="E106" s="2" t="s">
        <v>25</v>
      </c>
    </row>
    <row r="107">
      <c r="A107" s="2" t="s">
        <v>115</v>
      </c>
      <c r="B107" s="5">
        <v>46045.0</v>
      </c>
      <c r="C107" s="2">
        <v>50.0</v>
      </c>
    </row>
    <row r="108">
      <c r="A108" s="2" t="s">
        <v>39</v>
      </c>
      <c r="B108" s="5">
        <v>46045.0</v>
      </c>
      <c r="C108" s="2">
        <v>50.0</v>
      </c>
    </row>
    <row r="109">
      <c r="A109" s="2" t="s">
        <v>10</v>
      </c>
      <c r="B109" s="5">
        <v>46045.0</v>
      </c>
      <c r="C109" s="2">
        <v>60.0</v>
      </c>
    </row>
    <row r="110">
      <c r="A110" s="2" t="s">
        <v>23</v>
      </c>
      <c r="B110" s="5">
        <v>46046.0</v>
      </c>
      <c r="C110" s="2">
        <v>555.0</v>
      </c>
      <c r="D110" s="2" t="s">
        <v>22</v>
      </c>
      <c r="E110" s="2" t="s">
        <v>23</v>
      </c>
    </row>
    <row r="111">
      <c r="A111" s="2" t="s">
        <v>27</v>
      </c>
      <c r="B111" s="5">
        <v>46046.0</v>
      </c>
      <c r="C111" s="2">
        <v>300.0</v>
      </c>
    </row>
    <row r="112">
      <c r="A112" s="2" t="s">
        <v>122</v>
      </c>
      <c r="B112" s="5">
        <v>46046.0</v>
      </c>
      <c r="C112" s="2">
        <v>60.0</v>
      </c>
    </row>
    <row r="113">
      <c r="A113" s="2" t="s">
        <v>123</v>
      </c>
      <c r="B113" s="5">
        <v>46046.0</v>
      </c>
      <c r="C113" s="2">
        <v>255.0</v>
      </c>
      <c r="D113" s="2" t="s">
        <v>57</v>
      </c>
      <c r="E113" s="2" t="s">
        <v>59</v>
      </c>
    </row>
    <row r="114">
      <c r="A114" s="2" t="s">
        <v>10</v>
      </c>
      <c r="B114" s="5">
        <v>46047.0</v>
      </c>
      <c r="C114" s="2">
        <v>5.0</v>
      </c>
      <c r="D114" s="2" t="s">
        <v>7</v>
      </c>
      <c r="E114" s="2" t="s">
        <v>10</v>
      </c>
    </row>
    <row r="115">
      <c r="A115" s="2" t="s">
        <v>22</v>
      </c>
      <c r="B115" s="5">
        <v>46047.0</v>
      </c>
      <c r="C115" s="2">
        <v>599.0</v>
      </c>
      <c r="D115" s="2" t="s">
        <v>22</v>
      </c>
      <c r="E115" s="2" t="s">
        <v>25</v>
      </c>
    </row>
    <row r="116">
      <c r="A116" s="2" t="s">
        <v>115</v>
      </c>
      <c r="B116" s="5">
        <v>46047.0</v>
      </c>
      <c r="C116" s="2">
        <v>50.0</v>
      </c>
    </row>
    <row r="117">
      <c r="A117" s="2" t="s">
        <v>39</v>
      </c>
      <c r="B117" s="5">
        <v>46047.0</v>
      </c>
      <c r="C117" s="2">
        <v>50.0</v>
      </c>
    </row>
    <row r="118">
      <c r="A118" s="2" t="s">
        <v>125</v>
      </c>
      <c r="B118" s="5">
        <v>46047.0</v>
      </c>
      <c r="C118" s="2">
        <v>860.0</v>
      </c>
    </row>
    <row r="119">
      <c r="A119" s="2" t="s">
        <v>126</v>
      </c>
      <c r="B119" s="5">
        <v>46048.0</v>
      </c>
      <c r="C119" s="2">
        <v>350.0</v>
      </c>
      <c r="D119" s="2" t="s">
        <v>48</v>
      </c>
      <c r="E119" s="2" t="s">
        <v>120</v>
      </c>
    </row>
    <row r="120">
      <c r="A120" s="2" t="s">
        <v>17</v>
      </c>
      <c r="B120" s="5">
        <v>46048.0</v>
      </c>
      <c r="C120" s="2">
        <v>497.0</v>
      </c>
      <c r="D120" s="2" t="s">
        <v>17</v>
      </c>
      <c r="E120" s="2" t="s">
        <v>120</v>
      </c>
    </row>
    <row r="121">
      <c r="A121" s="2" t="s">
        <v>101</v>
      </c>
      <c r="B121" s="5">
        <v>46048.0</v>
      </c>
      <c r="C121" s="2">
        <v>220.0</v>
      </c>
    </row>
    <row r="122">
      <c r="A122" s="2" t="s">
        <v>57</v>
      </c>
      <c r="B122" s="5">
        <v>46049.0</v>
      </c>
      <c r="C122" s="2">
        <v>210.0</v>
      </c>
      <c r="D122" s="2" t="s">
        <v>57</v>
      </c>
      <c r="E122" s="2" t="s">
        <v>59</v>
      </c>
    </row>
    <row r="123">
      <c r="A123" s="2" t="s">
        <v>10</v>
      </c>
      <c r="B123" s="5">
        <v>46050.0</v>
      </c>
      <c r="C123" s="2">
        <v>16.0</v>
      </c>
      <c r="D123" s="2" t="s">
        <v>7</v>
      </c>
      <c r="E123" s="2" t="s">
        <v>10</v>
      </c>
    </row>
    <row r="124">
      <c r="A124" s="2" t="s">
        <v>24</v>
      </c>
      <c r="B124" s="5">
        <v>46050.0</v>
      </c>
      <c r="C124" s="2">
        <v>150.0</v>
      </c>
    </row>
    <row r="125">
      <c r="A125" s="2" t="s">
        <v>22</v>
      </c>
      <c r="B125" s="5">
        <v>46050.0</v>
      </c>
      <c r="C125" s="2">
        <v>529.0</v>
      </c>
    </row>
    <row r="126">
      <c r="A126" s="2" t="s">
        <v>128</v>
      </c>
      <c r="B126" s="5">
        <v>46050.0</v>
      </c>
      <c r="C126" s="2">
        <v>105.0</v>
      </c>
    </row>
    <row r="127">
      <c r="A127" s="2" t="s">
        <v>130</v>
      </c>
      <c r="B127" s="5">
        <v>46050.0</v>
      </c>
      <c r="C127" s="2">
        <v>2134.0</v>
      </c>
      <c r="D127" s="2" t="s">
        <v>22</v>
      </c>
      <c r="E127" s="2" t="s">
        <v>25</v>
      </c>
    </row>
    <row r="128">
      <c r="A128" s="2" t="s">
        <v>17</v>
      </c>
      <c r="B128" s="5">
        <v>46050.0</v>
      </c>
      <c r="C128" s="2">
        <v>25.0</v>
      </c>
      <c r="D128" s="2" t="s">
        <v>17</v>
      </c>
      <c r="E128" s="2" t="s">
        <v>35</v>
      </c>
    </row>
    <row r="129">
      <c r="A129" s="2" t="s">
        <v>10</v>
      </c>
      <c r="B129" s="5">
        <v>46051.0</v>
      </c>
      <c r="C129" s="2">
        <v>38.0</v>
      </c>
    </row>
    <row r="130">
      <c r="A130" s="2" t="s">
        <v>39</v>
      </c>
      <c r="B130" s="5">
        <v>46051.0</v>
      </c>
      <c r="C130" s="2">
        <v>70.0</v>
      </c>
    </row>
    <row r="131">
      <c r="A131" s="2" t="s">
        <v>25</v>
      </c>
      <c r="B131" s="5">
        <v>46051.0</v>
      </c>
      <c r="C131" s="2">
        <v>442.0</v>
      </c>
    </row>
    <row r="132">
      <c r="A132" s="2" t="s">
        <v>39</v>
      </c>
      <c r="B132" s="5">
        <v>46051.0</v>
      </c>
      <c r="C132" s="2">
        <v>60.0</v>
      </c>
    </row>
    <row r="133">
      <c r="A133" s="2" t="s">
        <v>55</v>
      </c>
      <c r="B133" s="5">
        <v>46051.0</v>
      </c>
      <c r="C133" s="2">
        <v>15.0</v>
      </c>
      <c r="D133" s="2" t="s">
        <v>57</v>
      </c>
      <c r="E133" s="2" t="s">
        <v>59</v>
      </c>
    </row>
    <row r="134">
      <c r="A134" s="2" t="s">
        <v>10</v>
      </c>
      <c r="B134" s="5">
        <v>46051.0</v>
      </c>
      <c r="C134" s="2">
        <v>20.0</v>
      </c>
    </row>
    <row r="135">
      <c r="A135" s="2" t="s">
        <v>91</v>
      </c>
      <c r="B135" s="5">
        <v>46051.0</v>
      </c>
      <c r="C135" s="2">
        <v>50.0</v>
      </c>
      <c r="D135" s="2" t="s">
        <v>57</v>
      </c>
      <c r="E135" s="2" t="s">
        <v>59</v>
      </c>
    </row>
    <row r="136">
      <c r="A136" s="2" t="s">
        <v>10</v>
      </c>
      <c r="B136" s="5">
        <v>46052.0</v>
      </c>
      <c r="C136" s="2">
        <v>5.0</v>
      </c>
      <c r="D136" s="2" t="s">
        <v>7</v>
      </c>
      <c r="E136" s="2" t="s">
        <v>10</v>
      </c>
    </row>
    <row r="137">
      <c r="A137" s="2" t="s">
        <v>115</v>
      </c>
      <c r="B137" s="5">
        <v>46052.0</v>
      </c>
      <c r="C137" s="2">
        <v>50.0</v>
      </c>
      <c r="D137" s="2" t="s">
        <v>17</v>
      </c>
      <c r="E137" s="2"/>
    </row>
    <row r="138">
      <c r="A138" s="2" t="s">
        <v>39</v>
      </c>
      <c r="B138" s="5">
        <v>46052.0</v>
      </c>
      <c r="C138" s="2">
        <v>50.0</v>
      </c>
      <c r="D138" s="2" t="s">
        <v>7</v>
      </c>
      <c r="E138" s="2" t="s">
        <v>39</v>
      </c>
    </row>
    <row r="139">
      <c r="A139" s="2" t="s">
        <v>8</v>
      </c>
      <c r="B139" s="5">
        <v>46052.0</v>
      </c>
      <c r="C139" s="2">
        <v>80.0</v>
      </c>
      <c r="D139" s="2" t="s">
        <v>8</v>
      </c>
    </row>
    <row r="140">
      <c r="A140" s="2" t="s">
        <v>134</v>
      </c>
      <c r="B140" s="5">
        <v>46053.0</v>
      </c>
      <c r="C140" s="2">
        <v>1200.0</v>
      </c>
      <c r="E140" s="2" t="s">
        <v>120</v>
      </c>
    </row>
    <row r="141">
      <c r="B141" s="12"/>
    </row>
    <row r="142">
      <c r="B142" s="12"/>
    </row>
    <row r="143">
      <c r="A143" s="2" t="s">
        <v>136</v>
      </c>
      <c r="B143" s="12"/>
      <c r="C143" s="2">
        <v>-7230.0</v>
      </c>
    </row>
    <row r="144">
      <c r="A144" s="2" t="s">
        <v>137</v>
      </c>
      <c r="B144" s="12"/>
      <c r="C144" s="13">
        <f>SUM(C2:C143)</f>
        <v>35089</v>
      </c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4" max="4" width="13.88"/>
  </cols>
  <sheetData>
    <row r="1">
      <c r="A1" s="3" t="s">
        <v>0</v>
      </c>
      <c r="B1" s="8" t="s">
        <v>1</v>
      </c>
      <c r="C1" s="3" t="s">
        <v>4</v>
      </c>
      <c r="D1" s="3" t="s">
        <v>2</v>
      </c>
      <c r="E1" s="3" t="s">
        <v>3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2" t="s">
        <v>5</v>
      </c>
      <c r="B2" s="5">
        <v>46054.0</v>
      </c>
      <c r="C2" s="2">
        <v>20.0</v>
      </c>
    </row>
    <row r="3">
      <c r="A3" s="2" t="s">
        <v>29</v>
      </c>
      <c r="B3" s="5">
        <v>46054.0</v>
      </c>
      <c r="C3" s="2">
        <v>799.0</v>
      </c>
      <c r="D3" s="2" t="s">
        <v>31</v>
      </c>
      <c r="E3" s="2" t="s">
        <v>32</v>
      </c>
    </row>
    <row r="4">
      <c r="A4" s="2" t="s">
        <v>36</v>
      </c>
      <c r="B4" s="11">
        <v>46024.0</v>
      </c>
      <c r="C4" s="2">
        <v>1675.0</v>
      </c>
      <c r="D4" s="2" t="s">
        <v>42</v>
      </c>
      <c r="E4" s="2" t="s">
        <v>44</v>
      </c>
    </row>
    <row r="5">
      <c r="A5" s="2" t="s">
        <v>23</v>
      </c>
      <c r="B5" s="5">
        <v>46056.0</v>
      </c>
      <c r="C5" s="2">
        <v>284.0</v>
      </c>
      <c r="D5" s="2" t="s">
        <v>22</v>
      </c>
      <c r="E5" s="2" t="s">
        <v>23</v>
      </c>
    </row>
    <row r="6">
      <c r="A6" s="2" t="s">
        <v>50</v>
      </c>
      <c r="B6" s="5">
        <v>46056.0</v>
      </c>
      <c r="C6" s="2">
        <v>504.0</v>
      </c>
      <c r="D6" s="2" t="s">
        <v>7</v>
      </c>
      <c r="E6" s="2" t="s">
        <v>52</v>
      </c>
    </row>
    <row r="7">
      <c r="A7" s="2" t="s">
        <v>55</v>
      </c>
      <c r="B7" s="5">
        <v>46056.0</v>
      </c>
      <c r="C7" s="2">
        <v>20.0</v>
      </c>
      <c r="D7" s="2" t="s">
        <v>57</v>
      </c>
      <c r="E7" s="2" t="s">
        <v>59</v>
      </c>
    </row>
    <row r="8">
      <c r="A8" s="2" t="s">
        <v>17</v>
      </c>
      <c r="B8" s="5">
        <v>46056.0</v>
      </c>
      <c r="C8" s="2">
        <v>308.0</v>
      </c>
      <c r="D8" s="2" t="s">
        <v>17</v>
      </c>
      <c r="E8" s="2" t="s">
        <v>35</v>
      </c>
    </row>
    <row r="9">
      <c r="A9" s="2" t="s">
        <v>39</v>
      </c>
      <c r="B9" s="5">
        <v>46056.0</v>
      </c>
      <c r="C9" s="2">
        <v>333.0</v>
      </c>
      <c r="D9" s="2" t="s">
        <v>7</v>
      </c>
      <c r="E9" s="2" t="s">
        <v>39</v>
      </c>
    </row>
    <row r="10">
      <c r="A10" s="2" t="s">
        <v>66</v>
      </c>
      <c r="B10" s="5">
        <v>46056.0</v>
      </c>
      <c r="C10" s="2">
        <v>20.0</v>
      </c>
    </row>
    <row r="11">
      <c r="A11" s="2" t="s">
        <v>52</v>
      </c>
      <c r="B11" s="5">
        <v>46056.0</v>
      </c>
      <c r="C11" s="2">
        <v>291.0</v>
      </c>
      <c r="D11" s="2" t="s">
        <v>7</v>
      </c>
      <c r="E11" s="2" t="s">
        <v>52</v>
      </c>
    </row>
    <row r="12">
      <c r="A12" s="2" t="s">
        <v>10</v>
      </c>
      <c r="B12" s="5">
        <v>46057.0</v>
      </c>
      <c r="C12" s="2">
        <v>68.0</v>
      </c>
      <c r="D12" s="2" t="s">
        <v>7</v>
      </c>
      <c r="E12" s="2" t="s">
        <v>10</v>
      </c>
    </row>
    <row r="13">
      <c r="A13" s="2" t="s">
        <v>22</v>
      </c>
      <c r="B13" s="5">
        <v>46057.0</v>
      </c>
      <c r="C13" s="2">
        <v>358.0</v>
      </c>
      <c r="D13" s="2" t="s">
        <v>22</v>
      </c>
      <c r="E13" s="2" t="s">
        <v>25</v>
      </c>
    </row>
    <row r="14">
      <c r="A14" s="2" t="s">
        <v>76</v>
      </c>
      <c r="B14" s="5">
        <v>46057.0</v>
      </c>
      <c r="C14" s="2">
        <v>330.0</v>
      </c>
      <c r="D14" s="2" t="s">
        <v>79</v>
      </c>
      <c r="E14" s="2" t="s">
        <v>80</v>
      </c>
    </row>
    <row r="15">
      <c r="A15" s="2" t="s">
        <v>10</v>
      </c>
      <c r="B15" s="5">
        <v>46059.0</v>
      </c>
      <c r="C15" s="2">
        <v>17.0</v>
      </c>
      <c r="D15" s="2" t="s">
        <v>7</v>
      </c>
      <c r="E15" s="2" t="s">
        <v>10</v>
      </c>
    </row>
    <row r="16">
      <c r="A16" s="2" t="s">
        <v>83</v>
      </c>
      <c r="B16" s="5">
        <v>46059.0</v>
      </c>
      <c r="C16" s="2">
        <v>75.0</v>
      </c>
    </row>
    <row r="17">
      <c r="A17" s="2" t="s">
        <v>23</v>
      </c>
      <c r="B17" s="5">
        <v>46059.0</v>
      </c>
      <c r="C17" s="2">
        <v>60.0</v>
      </c>
      <c r="D17" s="2" t="s">
        <v>22</v>
      </c>
      <c r="E17" s="2" t="s">
        <v>23</v>
      </c>
    </row>
    <row r="18">
      <c r="A18" s="2" t="s">
        <v>10</v>
      </c>
      <c r="B18" s="5">
        <v>46059.0</v>
      </c>
      <c r="C18" s="2">
        <v>7.0</v>
      </c>
      <c r="D18" s="2" t="s">
        <v>7</v>
      </c>
      <c r="E18" s="2" t="s">
        <v>10</v>
      </c>
    </row>
    <row r="19">
      <c r="A19" s="2" t="s">
        <v>91</v>
      </c>
      <c r="B19" s="5">
        <v>46059.0</v>
      </c>
      <c r="C19" s="2">
        <v>50.0</v>
      </c>
    </row>
    <row r="20">
      <c r="A20" s="2" t="s">
        <v>11</v>
      </c>
      <c r="B20" s="5">
        <v>46059.0</v>
      </c>
      <c r="C20" s="2">
        <v>2106.0</v>
      </c>
      <c r="D20" s="2" t="s">
        <v>22</v>
      </c>
      <c r="E20" s="2" t="s">
        <v>11</v>
      </c>
    </row>
    <row r="21">
      <c r="A21" s="2" t="s">
        <v>23</v>
      </c>
      <c r="B21" s="5">
        <v>46060.0</v>
      </c>
      <c r="C21" s="2">
        <v>865.0</v>
      </c>
      <c r="D21" s="2" t="s">
        <v>22</v>
      </c>
      <c r="E21" s="2" t="s">
        <v>23</v>
      </c>
    </row>
    <row r="22">
      <c r="A22" s="2" t="s">
        <v>101</v>
      </c>
      <c r="B22" s="5">
        <v>46060.0</v>
      </c>
      <c r="C22" s="2">
        <v>90.0</v>
      </c>
    </row>
    <row r="23">
      <c r="A23" s="2" t="s">
        <v>39</v>
      </c>
      <c r="B23" s="5">
        <v>46060.0</v>
      </c>
      <c r="C23" s="2">
        <v>90.0</v>
      </c>
    </row>
    <row r="24">
      <c r="A24" s="2" t="s">
        <v>106</v>
      </c>
      <c r="B24" s="5">
        <v>46060.0</v>
      </c>
      <c r="C24" s="2">
        <v>80.0</v>
      </c>
    </row>
    <row r="25">
      <c r="A25" s="2" t="s">
        <v>64</v>
      </c>
      <c r="B25" s="5">
        <v>46060.0</v>
      </c>
      <c r="C25" s="2">
        <v>80.0</v>
      </c>
      <c r="D25" s="2" t="s">
        <v>57</v>
      </c>
    </row>
    <row r="26">
      <c r="A26" s="2" t="s">
        <v>27</v>
      </c>
      <c r="B26" s="5">
        <v>46061.0</v>
      </c>
      <c r="C26" s="2">
        <v>260.0</v>
      </c>
      <c r="D26" s="2" t="s">
        <v>22</v>
      </c>
      <c r="E26" s="2" t="s">
        <v>27</v>
      </c>
    </row>
    <row r="27">
      <c r="A27" s="2" t="s">
        <v>22</v>
      </c>
      <c r="B27" s="5">
        <v>46061.0</v>
      </c>
      <c r="C27" s="2">
        <v>282.0</v>
      </c>
      <c r="D27" s="2" t="s">
        <v>22</v>
      </c>
      <c r="E27" s="2" t="s">
        <v>25</v>
      </c>
    </row>
    <row r="28">
      <c r="A28" s="2" t="s">
        <v>8</v>
      </c>
      <c r="B28" s="5">
        <v>46061.0</v>
      </c>
      <c r="C28" s="2">
        <v>30.0</v>
      </c>
    </row>
    <row r="29">
      <c r="A29" s="2" t="s">
        <v>92</v>
      </c>
      <c r="B29" s="5">
        <v>46061.0</v>
      </c>
      <c r="C29" s="2">
        <v>20.0</v>
      </c>
      <c r="E29" s="2" t="s">
        <v>35</v>
      </c>
    </row>
    <row r="30">
      <c r="A30" s="2" t="s">
        <v>91</v>
      </c>
      <c r="B30" s="5">
        <v>46061.0</v>
      </c>
      <c r="C30" s="2">
        <v>50.0</v>
      </c>
      <c r="D30" s="2" t="s">
        <v>57</v>
      </c>
      <c r="E30" s="2" t="s">
        <v>59</v>
      </c>
    </row>
    <row r="31">
      <c r="A31" s="2" t="s">
        <v>39</v>
      </c>
      <c r="B31" s="5">
        <v>46063.0</v>
      </c>
      <c r="C31" s="2">
        <v>50.0</v>
      </c>
      <c r="D31" s="2" t="s">
        <v>7</v>
      </c>
      <c r="E31" s="2" t="s">
        <v>39</v>
      </c>
    </row>
    <row r="32">
      <c r="A32" s="2" t="s">
        <v>25</v>
      </c>
      <c r="B32" s="5">
        <v>46063.0</v>
      </c>
      <c r="C32" s="2">
        <v>394.0</v>
      </c>
      <c r="D32" s="2" t="s">
        <v>22</v>
      </c>
      <c r="E32" s="2" t="s">
        <v>25</v>
      </c>
    </row>
    <row r="33">
      <c r="A33" s="2" t="s">
        <v>25</v>
      </c>
      <c r="B33" s="5">
        <v>46063.0</v>
      </c>
      <c r="C33" s="2">
        <v>1877.0</v>
      </c>
      <c r="D33" s="2" t="s">
        <v>22</v>
      </c>
      <c r="E33" s="2" t="s">
        <v>25</v>
      </c>
    </row>
    <row r="34">
      <c r="A34" s="2" t="s">
        <v>64</v>
      </c>
      <c r="B34" s="5">
        <v>46063.0</v>
      </c>
      <c r="C34" s="2">
        <v>100.0</v>
      </c>
      <c r="D34" s="2" t="s">
        <v>57</v>
      </c>
      <c r="E34" s="2" t="s">
        <v>59</v>
      </c>
    </row>
    <row r="35">
      <c r="A35" s="2" t="s">
        <v>10</v>
      </c>
      <c r="B35" s="5">
        <v>46064.0</v>
      </c>
      <c r="C35" s="2">
        <v>11.0</v>
      </c>
      <c r="D35" s="2" t="s">
        <v>7</v>
      </c>
      <c r="E35" s="2" t="s">
        <v>10</v>
      </c>
    </row>
    <row r="36">
      <c r="A36" s="2" t="s">
        <v>62</v>
      </c>
      <c r="B36" s="5">
        <v>46064.0</v>
      </c>
      <c r="C36" s="2">
        <v>50.0</v>
      </c>
      <c r="D36" s="2" t="s">
        <v>57</v>
      </c>
      <c r="E36" s="2" t="s">
        <v>59</v>
      </c>
    </row>
    <row r="37">
      <c r="A37" s="2" t="s">
        <v>27</v>
      </c>
      <c r="B37" s="5">
        <v>46064.0</v>
      </c>
      <c r="C37" s="2">
        <v>70.0</v>
      </c>
      <c r="D37" s="2" t="s">
        <v>22</v>
      </c>
      <c r="E37" s="2" t="s">
        <v>27</v>
      </c>
    </row>
    <row r="38">
      <c r="A38" s="2" t="s">
        <v>39</v>
      </c>
      <c r="B38" s="5">
        <v>46064.0</v>
      </c>
      <c r="C38" s="2">
        <v>100.0</v>
      </c>
      <c r="D38" s="2" t="s">
        <v>7</v>
      </c>
      <c r="E38" s="2" t="s">
        <v>39</v>
      </c>
    </row>
    <row r="39">
      <c r="A39" s="2" t="s">
        <v>24</v>
      </c>
      <c r="B39" s="5">
        <v>46064.0</v>
      </c>
      <c r="C39" s="2">
        <v>150.0</v>
      </c>
      <c r="D39" s="2" t="s">
        <v>22</v>
      </c>
      <c r="E39" s="2" t="s">
        <v>24</v>
      </c>
    </row>
    <row r="40">
      <c r="A40" s="2" t="s">
        <v>91</v>
      </c>
      <c r="B40" s="5">
        <v>46064.0</v>
      </c>
      <c r="C40" s="2">
        <v>50.0</v>
      </c>
      <c r="D40" s="2" t="s">
        <v>57</v>
      </c>
      <c r="E40" s="2" t="s">
        <v>59</v>
      </c>
    </row>
    <row r="41">
      <c r="A41" s="2" t="s">
        <v>64</v>
      </c>
      <c r="B41" s="5">
        <v>46065.0</v>
      </c>
      <c r="C41" s="2">
        <v>236.0</v>
      </c>
      <c r="D41" s="2" t="s">
        <v>22</v>
      </c>
      <c r="E41" s="2" t="s">
        <v>64</v>
      </c>
    </row>
    <row r="42">
      <c r="A42" s="2" t="s">
        <v>10</v>
      </c>
      <c r="B42" s="5">
        <v>46065.0</v>
      </c>
      <c r="C42" s="2">
        <v>70.0</v>
      </c>
      <c r="D42" s="2" t="s">
        <v>7</v>
      </c>
      <c r="E42" s="2" t="s">
        <v>10</v>
      </c>
    </row>
    <row r="43">
      <c r="A43" s="2" t="s">
        <v>62</v>
      </c>
      <c r="B43" s="5">
        <v>46065.0</v>
      </c>
      <c r="C43" s="2">
        <v>120.0</v>
      </c>
      <c r="D43" s="2" t="s">
        <v>57</v>
      </c>
      <c r="E43" s="2" t="s">
        <v>59</v>
      </c>
    </row>
    <row r="44">
      <c r="A44" s="2" t="s">
        <v>23</v>
      </c>
      <c r="B44" s="5">
        <v>46065.0</v>
      </c>
      <c r="C44" s="2">
        <v>50.0</v>
      </c>
      <c r="D44" s="2" t="s">
        <v>22</v>
      </c>
      <c r="E44" s="2" t="s">
        <v>23</v>
      </c>
    </row>
    <row r="45">
      <c r="A45" s="2" t="s">
        <v>15</v>
      </c>
      <c r="B45" s="5">
        <v>46066.0</v>
      </c>
      <c r="C45" s="2">
        <v>900.0</v>
      </c>
    </row>
    <row r="46">
      <c r="A46" s="2" t="s">
        <v>17</v>
      </c>
      <c r="B46" s="5">
        <v>46066.0</v>
      </c>
      <c r="C46" s="2">
        <v>900.0</v>
      </c>
      <c r="D46" s="2" t="s">
        <v>17</v>
      </c>
      <c r="E46" s="2" t="s">
        <v>35</v>
      </c>
    </row>
    <row r="47">
      <c r="A47" s="2" t="s">
        <v>39</v>
      </c>
      <c r="B47" s="5">
        <v>46068.0</v>
      </c>
      <c r="C47" s="2">
        <v>110.0</v>
      </c>
      <c r="D47" s="2" t="s">
        <v>7</v>
      </c>
      <c r="E47" s="2" t="s">
        <v>39</v>
      </c>
    </row>
    <row r="48">
      <c r="A48" s="2" t="s">
        <v>23</v>
      </c>
      <c r="B48" s="5">
        <v>46068.0</v>
      </c>
      <c r="C48" s="2">
        <v>437.0</v>
      </c>
      <c r="D48" s="2" t="s">
        <v>22</v>
      </c>
      <c r="E48" s="2" t="s">
        <v>23</v>
      </c>
    </row>
    <row r="49">
      <c r="A49" s="2" t="s">
        <v>17</v>
      </c>
      <c r="B49" s="5">
        <v>46068.0</v>
      </c>
      <c r="C49" s="2">
        <v>45.0</v>
      </c>
      <c r="D49" s="2" t="s">
        <v>17</v>
      </c>
      <c r="E49" s="2" t="s">
        <v>121</v>
      </c>
    </row>
    <row r="50">
      <c r="A50" s="2" t="s">
        <v>10</v>
      </c>
      <c r="B50" s="5">
        <v>46068.0</v>
      </c>
      <c r="C50" s="2">
        <v>20.0</v>
      </c>
      <c r="D50" s="2" t="s">
        <v>7</v>
      </c>
      <c r="E50" s="2" t="s">
        <v>10</v>
      </c>
    </row>
    <row r="51">
      <c r="A51" s="2" t="s">
        <v>124</v>
      </c>
      <c r="B51" s="5">
        <v>46068.0</v>
      </c>
      <c r="C51" s="2">
        <v>375.0</v>
      </c>
    </row>
    <row r="52">
      <c r="A52" s="2" t="s">
        <v>23</v>
      </c>
      <c r="B52" s="5">
        <v>46069.0</v>
      </c>
      <c r="C52" s="2">
        <v>327.0</v>
      </c>
      <c r="D52" s="2" t="s">
        <v>22</v>
      </c>
      <c r="E52" s="2" t="s">
        <v>23</v>
      </c>
    </row>
    <row r="53">
      <c r="A53" s="2" t="s">
        <v>91</v>
      </c>
      <c r="B53" s="5">
        <v>46069.0</v>
      </c>
      <c r="C53" s="2">
        <v>50.0</v>
      </c>
      <c r="D53" s="2" t="s">
        <v>57</v>
      </c>
      <c r="E53" s="2" t="s">
        <v>59</v>
      </c>
    </row>
    <row r="54">
      <c r="A54" s="2" t="s">
        <v>17</v>
      </c>
      <c r="B54" s="5">
        <v>46069.0</v>
      </c>
      <c r="C54" s="2">
        <v>118.0</v>
      </c>
      <c r="D54" s="2" t="s">
        <v>17</v>
      </c>
      <c r="E54" s="2" t="s">
        <v>35</v>
      </c>
    </row>
    <row r="55">
      <c r="A55" s="2" t="s">
        <v>17</v>
      </c>
      <c r="B55" s="5">
        <v>46069.0</v>
      </c>
      <c r="C55" s="2">
        <v>83.0</v>
      </c>
      <c r="D55" s="2" t="s">
        <v>17</v>
      </c>
      <c r="E55" s="2" t="s">
        <v>28</v>
      </c>
    </row>
    <row r="56">
      <c r="A56" s="2" t="s">
        <v>127</v>
      </c>
      <c r="B56" s="5">
        <v>46069.0</v>
      </c>
      <c r="C56" s="2">
        <v>75.0</v>
      </c>
    </row>
    <row r="57">
      <c r="A57" s="2" t="s">
        <v>129</v>
      </c>
      <c r="B57" s="5">
        <v>46069.0</v>
      </c>
      <c r="C57" s="2">
        <v>300.0</v>
      </c>
      <c r="D57" s="2" t="s">
        <v>9</v>
      </c>
      <c r="E57" s="2" t="s">
        <v>131</v>
      </c>
    </row>
    <row r="58">
      <c r="A58" s="2" t="s">
        <v>13</v>
      </c>
      <c r="B58" s="5">
        <v>46070.0</v>
      </c>
      <c r="C58" s="2">
        <v>317.0</v>
      </c>
      <c r="D58" s="2" t="s">
        <v>13</v>
      </c>
    </row>
    <row r="59">
      <c r="A59" s="2" t="s">
        <v>27</v>
      </c>
      <c r="B59" s="5">
        <v>46070.0</v>
      </c>
      <c r="C59" s="2">
        <v>75.0</v>
      </c>
      <c r="D59" s="2" t="s">
        <v>22</v>
      </c>
      <c r="E59" s="2" t="s">
        <v>27</v>
      </c>
    </row>
    <row r="60">
      <c r="A60" s="2" t="s">
        <v>132</v>
      </c>
      <c r="B60" s="5">
        <v>46071.0</v>
      </c>
      <c r="C60" s="2">
        <v>45.0</v>
      </c>
    </row>
    <row r="61">
      <c r="A61" s="2" t="s">
        <v>106</v>
      </c>
      <c r="B61" s="5">
        <v>46071.0</v>
      </c>
      <c r="C61" s="2">
        <v>25.0</v>
      </c>
    </row>
    <row r="62">
      <c r="A62" s="2" t="s">
        <v>133</v>
      </c>
      <c r="B62" s="5">
        <v>46071.0</v>
      </c>
      <c r="C62" s="2">
        <v>548.0</v>
      </c>
      <c r="D62" s="2" t="s">
        <v>57</v>
      </c>
      <c r="E62" s="2" t="s">
        <v>73</v>
      </c>
    </row>
    <row r="63">
      <c r="A63" s="2" t="s">
        <v>17</v>
      </c>
      <c r="B63" s="5">
        <v>46071.0</v>
      </c>
      <c r="C63" s="2">
        <v>776.0</v>
      </c>
      <c r="D63" s="2" t="s">
        <v>17</v>
      </c>
      <c r="E63" s="2" t="s">
        <v>18</v>
      </c>
    </row>
    <row r="64">
      <c r="A64" s="2" t="s">
        <v>135</v>
      </c>
      <c r="B64" s="5">
        <v>46071.0</v>
      </c>
      <c r="C64" s="2">
        <v>71.0</v>
      </c>
      <c r="D64" s="2" t="s">
        <v>17</v>
      </c>
      <c r="E64" s="2" t="s">
        <v>35</v>
      </c>
    </row>
    <row r="65">
      <c r="A65" s="2" t="s">
        <v>87</v>
      </c>
      <c r="B65" s="5">
        <v>46072.0</v>
      </c>
      <c r="C65" s="2">
        <v>280.0</v>
      </c>
      <c r="D65" s="2" t="s">
        <v>22</v>
      </c>
    </row>
    <row r="66">
      <c r="A66" s="2" t="s">
        <v>23</v>
      </c>
      <c r="B66" s="5">
        <v>46072.0</v>
      </c>
      <c r="C66" s="2">
        <v>45.0</v>
      </c>
    </row>
    <row r="67">
      <c r="A67" s="2" t="s">
        <v>116</v>
      </c>
      <c r="B67" s="5">
        <v>46073.0</v>
      </c>
      <c r="C67" s="2">
        <v>38.0</v>
      </c>
      <c r="D67" s="2" t="s">
        <v>22</v>
      </c>
      <c r="E67" s="2" t="s">
        <v>25</v>
      </c>
    </row>
    <row r="68">
      <c r="A68" s="2" t="s">
        <v>10</v>
      </c>
      <c r="B68" s="5">
        <v>46074.0</v>
      </c>
      <c r="C68" s="2">
        <v>5.0</v>
      </c>
      <c r="D68" s="2" t="s">
        <v>7</v>
      </c>
      <c r="E68" s="2" t="s">
        <v>10</v>
      </c>
    </row>
    <row r="69">
      <c r="A69" s="2" t="s">
        <v>25</v>
      </c>
      <c r="B69" s="5">
        <v>46074.0</v>
      </c>
      <c r="C69" s="2">
        <v>347.0</v>
      </c>
      <c r="D69" s="2" t="s">
        <v>22</v>
      </c>
      <c r="E69" s="2" t="s">
        <v>25</v>
      </c>
    </row>
    <row r="70">
      <c r="A70" s="2" t="s">
        <v>23</v>
      </c>
      <c r="B70" s="5">
        <v>46074.0</v>
      </c>
      <c r="C70" s="2">
        <v>668.0</v>
      </c>
      <c r="D70" s="2" t="s">
        <v>22</v>
      </c>
      <c r="E70" s="2" t="s">
        <v>23</v>
      </c>
    </row>
    <row r="71">
      <c r="A71" s="2" t="s">
        <v>10</v>
      </c>
      <c r="B71" s="5">
        <v>46074.0</v>
      </c>
      <c r="C71" s="2">
        <v>10.0</v>
      </c>
    </row>
    <row r="72">
      <c r="A72" s="2" t="s">
        <v>138</v>
      </c>
      <c r="B72" s="5">
        <v>46074.0</v>
      </c>
      <c r="C72" s="2">
        <v>20.0</v>
      </c>
    </row>
    <row r="73">
      <c r="A73" s="2" t="s">
        <v>106</v>
      </c>
      <c r="B73" s="5">
        <v>46074.0</v>
      </c>
      <c r="C73" s="2">
        <v>60.0</v>
      </c>
      <c r="D73" s="2" t="s">
        <v>22</v>
      </c>
      <c r="E73" s="2" t="s">
        <v>25</v>
      </c>
    </row>
    <row r="74">
      <c r="A74" s="2" t="s">
        <v>27</v>
      </c>
      <c r="B74" s="5">
        <v>46074.0</v>
      </c>
      <c r="C74" s="2">
        <v>55.0</v>
      </c>
      <c r="D74" s="2" t="s">
        <v>22</v>
      </c>
      <c r="E74" s="2" t="s">
        <v>27</v>
      </c>
    </row>
    <row r="75">
      <c r="A75" s="2" t="s">
        <v>39</v>
      </c>
      <c r="B75" s="5">
        <v>46074.0</v>
      </c>
      <c r="C75" s="2">
        <v>50.0</v>
      </c>
      <c r="D75" s="2" t="s">
        <v>7</v>
      </c>
      <c r="E75" s="2" t="s">
        <v>39</v>
      </c>
    </row>
    <row r="76">
      <c r="A76" s="2" t="s">
        <v>139</v>
      </c>
      <c r="B76" s="5">
        <v>46074.0</v>
      </c>
      <c r="C76" s="2">
        <v>300.0</v>
      </c>
      <c r="D76" s="2" t="s">
        <v>9</v>
      </c>
      <c r="E76" s="2" t="s">
        <v>28</v>
      </c>
    </row>
    <row r="77">
      <c r="A77" s="2" t="s">
        <v>8</v>
      </c>
      <c r="B77" s="5">
        <v>46075.0</v>
      </c>
      <c r="C77" s="2">
        <v>60.0</v>
      </c>
    </row>
    <row r="78">
      <c r="A78" s="2" t="s">
        <v>10</v>
      </c>
      <c r="B78" s="5">
        <v>46075.0</v>
      </c>
      <c r="C78" s="2">
        <v>27.0</v>
      </c>
      <c r="D78" s="2" t="s">
        <v>7</v>
      </c>
      <c r="E78" s="2" t="s">
        <v>10</v>
      </c>
    </row>
    <row r="79">
      <c r="A79" s="2" t="s">
        <v>25</v>
      </c>
      <c r="B79" s="5">
        <v>46075.0</v>
      </c>
      <c r="C79" s="2">
        <v>280.0</v>
      </c>
      <c r="D79" s="2" t="s">
        <v>22</v>
      </c>
      <c r="E79" s="2" t="s">
        <v>25</v>
      </c>
    </row>
    <row r="80">
      <c r="A80" s="2" t="s">
        <v>140</v>
      </c>
      <c r="B80" s="5">
        <v>46075.0</v>
      </c>
      <c r="C80" s="2">
        <v>2120.0</v>
      </c>
      <c r="D80" s="2" t="s">
        <v>141</v>
      </c>
      <c r="E80" s="2" t="s">
        <v>142</v>
      </c>
    </row>
    <row r="81">
      <c r="A81" s="2" t="s">
        <v>10</v>
      </c>
      <c r="B81" s="5">
        <v>46076.0</v>
      </c>
      <c r="C81" s="2">
        <v>30.0</v>
      </c>
      <c r="D81" s="2" t="s">
        <v>7</v>
      </c>
      <c r="E81" s="2" t="s">
        <v>10</v>
      </c>
    </row>
    <row r="82">
      <c r="A82" s="2" t="s">
        <v>93</v>
      </c>
      <c r="B82" s="5">
        <v>46076.0</v>
      </c>
      <c r="C82" s="2">
        <v>500.0</v>
      </c>
    </row>
    <row r="83">
      <c r="A83" s="2" t="s">
        <v>39</v>
      </c>
      <c r="B83" s="5">
        <v>46076.0</v>
      </c>
      <c r="C83" s="2">
        <v>40.0</v>
      </c>
      <c r="D83" s="2" t="s">
        <v>7</v>
      </c>
      <c r="E83" s="2" t="s">
        <v>143</v>
      </c>
    </row>
    <row r="84">
      <c r="A84" s="2" t="s">
        <v>25</v>
      </c>
      <c r="B84" s="5">
        <v>46077.0</v>
      </c>
      <c r="C84" s="2">
        <v>6.0</v>
      </c>
      <c r="D84" s="2" t="s">
        <v>22</v>
      </c>
      <c r="E84" s="2" t="s">
        <v>25</v>
      </c>
    </row>
    <row r="85">
      <c r="A85" s="2" t="s">
        <v>144</v>
      </c>
      <c r="B85" s="5">
        <v>46079.0</v>
      </c>
      <c r="C85" s="2">
        <v>200.0</v>
      </c>
      <c r="E85" s="2" t="s">
        <v>120</v>
      </c>
    </row>
    <row r="86">
      <c r="A86" s="2" t="s">
        <v>25</v>
      </c>
      <c r="B86" s="5">
        <v>46080.0</v>
      </c>
      <c r="C86" s="2">
        <v>878.0</v>
      </c>
      <c r="D86" s="2" t="s">
        <v>22</v>
      </c>
      <c r="E86" s="2" t="s">
        <v>25</v>
      </c>
    </row>
    <row r="87">
      <c r="A87" s="2" t="s">
        <v>10</v>
      </c>
      <c r="B87" s="5">
        <v>46080.0</v>
      </c>
      <c r="C87" s="2">
        <v>32.0</v>
      </c>
      <c r="D87" s="2" t="s">
        <v>7</v>
      </c>
      <c r="E87" s="2" t="s">
        <v>10</v>
      </c>
    </row>
    <row r="88">
      <c r="A88" s="2" t="s">
        <v>27</v>
      </c>
      <c r="B88" s="5">
        <v>46080.0</v>
      </c>
      <c r="C88" s="2">
        <v>122.0</v>
      </c>
      <c r="D88" s="2" t="s">
        <v>22</v>
      </c>
      <c r="E88" s="2" t="s">
        <v>27</v>
      </c>
    </row>
    <row r="89">
      <c r="A89" s="2" t="s">
        <v>55</v>
      </c>
      <c r="B89" s="5">
        <v>46080.0</v>
      </c>
      <c r="C89" s="2">
        <v>180.0</v>
      </c>
      <c r="D89" s="2" t="s">
        <v>22</v>
      </c>
      <c r="E89" s="2" t="s">
        <v>25</v>
      </c>
    </row>
    <row r="90">
      <c r="A90" s="2" t="s">
        <v>84</v>
      </c>
      <c r="B90" s="5">
        <v>46080.0</v>
      </c>
      <c r="C90" s="2">
        <v>1055.0</v>
      </c>
      <c r="D90" s="2" t="s">
        <v>22</v>
      </c>
      <c r="E90" s="2" t="s">
        <v>113</v>
      </c>
    </row>
    <row r="91">
      <c r="A91" s="2" t="s">
        <v>91</v>
      </c>
      <c r="B91" s="5">
        <v>46080.0</v>
      </c>
      <c r="C91" s="2">
        <v>50.0</v>
      </c>
      <c r="D91" s="2" t="s">
        <v>57</v>
      </c>
      <c r="E91" s="2" t="s">
        <v>59</v>
      </c>
    </row>
    <row r="92">
      <c r="A92" s="2" t="s">
        <v>25</v>
      </c>
      <c r="B92" s="5">
        <v>46080.0</v>
      </c>
      <c r="C92" s="2">
        <v>270.0</v>
      </c>
      <c r="D92" s="2" t="s">
        <v>22</v>
      </c>
      <c r="E92" s="2" t="s">
        <v>25</v>
      </c>
    </row>
    <row r="93">
      <c r="A93" s="2" t="s">
        <v>39</v>
      </c>
      <c r="B93" s="5">
        <v>46081.0</v>
      </c>
      <c r="C93" s="2">
        <v>100.0</v>
      </c>
      <c r="D93" s="2" t="s">
        <v>7</v>
      </c>
      <c r="E93" s="2" t="s">
        <v>39</v>
      </c>
    </row>
    <row r="94">
      <c r="A94" s="2" t="s">
        <v>10</v>
      </c>
      <c r="B94" s="5">
        <v>46081.0</v>
      </c>
      <c r="C94" s="2">
        <v>25.0</v>
      </c>
      <c r="D94" s="2" t="s">
        <v>7</v>
      </c>
      <c r="E94" s="2" t="s">
        <v>10</v>
      </c>
    </row>
    <row r="95">
      <c r="A95" s="2" t="s">
        <v>25</v>
      </c>
      <c r="B95" s="5">
        <v>46081.0</v>
      </c>
      <c r="C95" s="2">
        <v>72.0</v>
      </c>
      <c r="D95" s="2" t="s">
        <v>22</v>
      </c>
      <c r="E95" s="2" t="s">
        <v>25</v>
      </c>
    </row>
    <row r="96">
      <c r="A96" s="2" t="s">
        <v>91</v>
      </c>
      <c r="B96" s="5">
        <v>46081.0</v>
      </c>
      <c r="C96" s="2">
        <v>50.0</v>
      </c>
      <c r="D96" s="2" t="s">
        <v>57</v>
      </c>
      <c r="E96" s="2" t="s">
        <v>59</v>
      </c>
    </row>
    <row r="97">
      <c r="A97" s="2" t="s">
        <v>145</v>
      </c>
      <c r="B97" s="5">
        <v>46081.0</v>
      </c>
      <c r="C97" s="2">
        <v>60.0</v>
      </c>
    </row>
    <row r="98">
      <c r="A98" s="2" t="s">
        <v>39</v>
      </c>
      <c r="B98" s="5">
        <v>46081.0</v>
      </c>
      <c r="C98" s="2">
        <v>50.0</v>
      </c>
      <c r="D98" s="2" t="s">
        <v>7</v>
      </c>
      <c r="E98" s="2" t="s">
        <v>39</v>
      </c>
    </row>
    <row r="99">
      <c r="A99" s="2" t="s">
        <v>27</v>
      </c>
      <c r="B99" s="5">
        <v>46081.0</v>
      </c>
      <c r="C99" s="2">
        <v>90.0</v>
      </c>
      <c r="D99" s="2" t="s">
        <v>22</v>
      </c>
      <c r="E99" s="2" t="s">
        <v>27</v>
      </c>
    </row>
    <row r="101">
      <c r="A101" s="2" t="s">
        <v>136</v>
      </c>
      <c r="C101" s="2">
        <v>-7082.0</v>
      </c>
    </row>
    <row r="102">
      <c r="A102" s="2" t="s">
        <v>146</v>
      </c>
      <c r="C102" s="2">
        <v>-30000.0</v>
      </c>
    </row>
    <row r="103">
      <c r="A103" s="2" t="s">
        <v>137</v>
      </c>
      <c r="C103" s="13">
        <f>SUM(C2:C102)</f>
        <v>-10810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4" max="4" width="13.63"/>
  </cols>
  <sheetData>
    <row r="1">
      <c r="A1" s="3" t="s">
        <v>0</v>
      </c>
      <c r="B1" s="8" t="s">
        <v>1</v>
      </c>
      <c r="C1" s="3" t="s">
        <v>4</v>
      </c>
      <c r="D1" s="3" t="s">
        <v>2</v>
      </c>
      <c r="E1" s="3" t="s">
        <v>3</v>
      </c>
    </row>
    <row r="2">
      <c r="A2" s="2" t="s">
        <v>5</v>
      </c>
      <c r="B2" s="5">
        <v>46082.0</v>
      </c>
      <c r="C2" s="2">
        <v>20.0</v>
      </c>
    </row>
    <row r="3">
      <c r="A3" s="2" t="s">
        <v>8</v>
      </c>
      <c r="B3" s="5">
        <v>46082.0</v>
      </c>
      <c r="C3" s="2">
        <v>40.0</v>
      </c>
      <c r="D3" s="2" t="s">
        <v>147</v>
      </c>
      <c r="E3" s="2" t="s">
        <v>28</v>
      </c>
    </row>
    <row r="4">
      <c r="A4" s="2" t="s">
        <v>64</v>
      </c>
      <c r="B4" s="5">
        <v>46082.0</v>
      </c>
      <c r="C4" s="2">
        <v>40.0</v>
      </c>
      <c r="D4" s="2" t="s">
        <v>57</v>
      </c>
      <c r="E4" s="2" t="s">
        <v>59</v>
      </c>
    </row>
    <row r="5">
      <c r="A5" s="2" t="s">
        <v>25</v>
      </c>
      <c r="B5" s="5">
        <v>46084.0</v>
      </c>
      <c r="C5" s="2">
        <v>674.0</v>
      </c>
      <c r="D5" s="2" t="s">
        <v>22</v>
      </c>
      <c r="E5" s="2" t="s">
        <v>25</v>
      </c>
    </row>
    <row r="6">
      <c r="A6" s="2" t="s">
        <v>39</v>
      </c>
      <c r="B6" s="5">
        <v>46084.0</v>
      </c>
      <c r="C6" s="2">
        <v>30.0</v>
      </c>
      <c r="D6" s="2" t="s">
        <v>7</v>
      </c>
      <c r="E6" s="2" t="s">
        <v>39</v>
      </c>
    </row>
    <row r="7">
      <c r="A7" s="2" t="s">
        <v>10</v>
      </c>
      <c r="B7" s="5">
        <v>46084.0</v>
      </c>
      <c r="C7" s="2">
        <v>5.0</v>
      </c>
      <c r="D7" s="2" t="s">
        <v>7</v>
      </c>
      <c r="E7" s="2" t="s">
        <v>10</v>
      </c>
    </row>
    <row r="8">
      <c r="A8" s="2" t="s">
        <v>13</v>
      </c>
      <c r="B8" s="5">
        <v>46084.0</v>
      </c>
      <c r="C8" s="2">
        <v>10.0</v>
      </c>
    </row>
    <row r="9">
      <c r="A9" s="2" t="s">
        <v>15</v>
      </c>
      <c r="B9" s="5">
        <v>46086.0</v>
      </c>
      <c r="C9" s="2">
        <v>900.0</v>
      </c>
    </row>
    <row r="10">
      <c r="A10" s="2" t="s">
        <v>11</v>
      </c>
      <c r="B10" s="5">
        <v>46086.0</v>
      </c>
      <c r="C10" s="2">
        <v>1863.0</v>
      </c>
      <c r="D10" s="2" t="s">
        <v>22</v>
      </c>
      <c r="E10" s="2" t="s">
        <v>11</v>
      </c>
    </row>
    <row r="11">
      <c r="A11" s="2" t="s">
        <v>22</v>
      </c>
      <c r="B11" s="5">
        <v>46086.0</v>
      </c>
      <c r="C11" s="2">
        <v>521.0</v>
      </c>
      <c r="D11" s="2" t="s">
        <v>22</v>
      </c>
    </row>
    <row r="12">
      <c r="A12" s="2" t="s">
        <v>10</v>
      </c>
      <c r="B12" s="5">
        <v>46086.0</v>
      </c>
      <c r="C12" s="2">
        <v>5.0</v>
      </c>
      <c r="D12" s="2" t="s">
        <v>7</v>
      </c>
      <c r="E12" s="2" t="s">
        <v>10</v>
      </c>
    </row>
    <row r="13">
      <c r="A13" s="2" t="s">
        <v>17</v>
      </c>
      <c r="B13" s="5">
        <v>46086.0</v>
      </c>
      <c r="C13" s="2">
        <v>25.0</v>
      </c>
    </row>
    <row r="14">
      <c r="A14" s="2" t="s">
        <v>148</v>
      </c>
      <c r="B14" s="5">
        <v>46086.0</v>
      </c>
      <c r="C14" s="2">
        <v>315.0</v>
      </c>
      <c r="D14" s="2" t="s">
        <v>147</v>
      </c>
      <c r="E14" s="2" t="s">
        <v>28</v>
      </c>
    </row>
    <row r="15">
      <c r="A15" s="2" t="s">
        <v>17</v>
      </c>
      <c r="B15" s="5">
        <v>46086.0</v>
      </c>
      <c r="C15" s="2">
        <v>110.0</v>
      </c>
    </row>
    <row r="16">
      <c r="A16" s="2" t="s">
        <v>71</v>
      </c>
      <c r="B16" s="5">
        <v>46086.0</v>
      </c>
      <c r="C16" s="2">
        <v>257.0</v>
      </c>
      <c r="D16" s="2" t="s">
        <v>57</v>
      </c>
      <c r="E16" s="2" t="s">
        <v>73</v>
      </c>
    </row>
    <row r="17">
      <c r="A17" s="2" t="s">
        <v>27</v>
      </c>
      <c r="B17" s="5">
        <v>46087.0</v>
      </c>
      <c r="C17" s="2">
        <v>150.0</v>
      </c>
      <c r="D17" s="2" t="s">
        <v>22</v>
      </c>
      <c r="E17" s="2" t="s">
        <v>27</v>
      </c>
    </row>
    <row r="18">
      <c r="A18" s="2" t="s">
        <v>87</v>
      </c>
      <c r="B18" s="5">
        <v>46087.0</v>
      </c>
      <c r="C18" s="2">
        <v>265.0</v>
      </c>
      <c r="D18" s="2" t="s">
        <v>22</v>
      </c>
      <c r="E18" s="2" t="s">
        <v>25</v>
      </c>
    </row>
    <row r="19">
      <c r="A19" s="2" t="s">
        <v>23</v>
      </c>
      <c r="B19" s="5">
        <v>46087.0</v>
      </c>
      <c r="C19" s="2">
        <v>24.0</v>
      </c>
      <c r="D19" s="2" t="s">
        <v>22</v>
      </c>
      <c r="E19" s="2" t="s">
        <v>23</v>
      </c>
    </row>
    <row r="20">
      <c r="A20" s="2" t="s">
        <v>91</v>
      </c>
      <c r="B20" s="5">
        <v>46087.0</v>
      </c>
      <c r="C20" s="2">
        <v>50.0</v>
      </c>
      <c r="D20" s="2" t="s">
        <v>57</v>
      </c>
      <c r="E20" s="2" t="s">
        <v>59</v>
      </c>
    </row>
    <row r="21">
      <c r="A21" s="2" t="s">
        <v>10</v>
      </c>
      <c r="B21" s="5">
        <v>46087.0</v>
      </c>
      <c r="C21" s="2">
        <v>5.0</v>
      </c>
      <c r="D21" s="2" t="s">
        <v>7</v>
      </c>
      <c r="E21" s="2" t="s">
        <v>10</v>
      </c>
    </row>
    <row r="22">
      <c r="A22" s="2" t="s">
        <v>57</v>
      </c>
      <c r="B22" s="5">
        <v>46087.0</v>
      </c>
      <c r="C22" s="2">
        <v>194.0</v>
      </c>
      <c r="D22" s="2" t="s">
        <v>57</v>
      </c>
      <c r="E22" s="2" t="s">
        <v>59</v>
      </c>
    </row>
    <row r="23">
      <c r="A23" s="2" t="s">
        <v>24</v>
      </c>
      <c r="B23" s="5">
        <v>46088.0</v>
      </c>
      <c r="C23" s="2">
        <v>170.0</v>
      </c>
      <c r="D23" s="2" t="s">
        <v>22</v>
      </c>
      <c r="E23" s="2" t="s">
        <v>24</v>
      </c>
    </row>
    <row r="24">
      <c r="A24" s="2" t="s">
        <v>10</v>
      </c>
      <c r="B24" s="5">
        <v>46088.0</v>
      </c>
      <c r="C24" s="2">
        <v>5.0</v>
      </c>
      <c r="D24" s="2" t="s">
        <v>7</v>
      </c>
      <c r="E24" s="2" t="s">
        <v>10</v>
      </c>
    </row>
    <row r="25">
      <c r="A25" s="2" t="s">
        <v>39</v>
      </c>
      <c r="B25" s="5">
        <v>46088.0</v>
      </c>
      <c r="C25" s="2">
        <v>70.0</v>
      </c>
      <c r="D25" s="2" t="s">
        <v>7</v>
      </c>
      <c r="E25" s="2" t="s">
        <v>39</v>
      </c>
    </row>
    <row r="26">
      <c r="A26" s="2" t="s">
        <v>106</v>
      </c>
      <c r="B26" s="5">
        <v>46088.0</v>
      </c>
      <c r="C26" s="2">
        <v>60.0</v>
      </c>
      <c r="D26" s="2" t="s">
        <v>22</v>
      </c>
    </row>
    <row r="27">
      <c r="A27" s="2" t="s">
        <v>23</v>
      </c>
      <c r="B27" s="5">
        <v>46088.0</v>
      </c>
      <c r="C27" s="2">
        <v>780.0</v>
      </c>
      <c r="D27" s="2" t="s">
        <v>22</v>
      </c>
      <c r="E27" s="2" t="s">
        <v>23</v>
      </c>
    </row>
    <row r="28">
      <c r="A28" s="2" t="s">
        <v>27</v>
      </c>
      <c r="B28" s="5">
        <v>46088.0</v>
      </c>
      <c r="C28" s="2">
        <v>60.0</v>
      </c>
      <c r="D28" s="2" t="s">
        <v>22</v>
      </c>
      <c r="E28" s="2" t="s">
        <v>27</v>
      </c>
    </row>
    <row r="29">
      <c r="A29" s="2" t="s">
        <v>39</v>
      </c>
      <c r="B29" s="5">
        <v>46088.0</v>
      </c>
      <c r="C29" s="2">
        <v>50.0</v>
      </c>
      <c r="D29" s="2" t="s">
        <v>7</v>
      </c>
      <c r="E29" s="2" t="s">
        <v>39</v>
      </c>
    </row>
    <row r="30">
      <c r="A30" s="2" t="s">
        <v>64</v>
      </c>
      <c r="B30" s="5">
        <v>46088.0</v>
      </c>
      <c r="C30" s="2">
        <v>40.0</v>
      </c>
      <c r="D30" s="2" t="s">
        <v>57</v>
      </c>
      <c r="E30" s="2" t="s">
        <v>59</v>
      </c>
    </row>
    <row r="31">
      <c r="A31" s="2" t="s">
        <v>10</v>
      </c>
      <c r="B31" s="5">
        <v>46088.0</v>
      </c>
      <c r="C31" s="2">
        <v>10.0</v>
      </c>
      <c r="D31" s="2" t="s">
        <v>7</v>
      </c>
      <c r="E31" s="2" t="s">
        <v>10</v>
      </c>
    </row>
    <row r="32">
      <c r="A32" s="2" t="s">
        <v>8</v>
      </c>
      <c r="B32" s="5">
        <v>46089.0</v>
      </c>
      <c r="C32" s="2">
        <v>20.0</v>
      </c>
      <c r="D32" s="2" t="s">
        <v>147</v>
      </c>
      <c r="E32" s="2" t="s">
        <v>28</v>
      </c>
    </row>
    <row r="33">
      <c r="A33" s="2" t="s">
        <v>17</v>
      </c>
      <c r="B33" s="5">
        <v>46090.0</v>
      </c>
      <c r="C33" s="2">
        <v>327.0</v>
      </c>
      <c r="D33" s="2" t="s">
        <v>17</v>
      </c>
      <c r="E33" s="2" t="s">
        <v>35</v>
      </c>
    </row>
    <row r="34">
      <c r="A34" s="2" t="s">
        <v>17</v>
      </c>
      <c r="B34" s="5">
        <v>46091.0</v>
      </c>
      <c r="C34" s="2">
        <v>75.0</v>
      </c>
      <c r="D34" s="2" t="s">
        <v>17</v>
      </c>
      <c r="E34" s="2" t="s">
        <v>18</v>
      </c>
    </row>
    <row r="35">
      <c r="A35" s="2" t="s">
        <v>39</v>
      </c>
      <c r="B35" s="5">
        <v>46091.0</v>
      </c>
      <c r="C35" s="2">
        <v>50.0</v>
      </c>
      <c r="D35" s="2" t="s">
        <v>7</v>
      </c>
      <c r="E35" s="2" t="s">
        <v>39</v>
      </c>
    </row>
    <row r="36">
      <c r="A36" s="2" t="s">
        <v>10</v>
      </c>
      <c r="B36" s="5">
        <v>46091.0</v>
      </c>
      <c r="C36" s="2">
        <v>5.0</v>
      </c>
      <c r="D36" s="2" t="s">
        <v>7</v>
      </c>
      <c r="E36" s="2" t="s">
        <v>10</v>
      </c>
    </row>
    <row r="37">
      <c r="A37" s="2" t="s">
        <v>149</v>
      </c>
      <c r="B37" s="5">
        <v>46091.0</v>
      </c>
      <c r="C37" s="2">
        <v>50.0</v>
      </c>
      <c r="D37" s="2" t="s">
        <v>17</v>
      </c>
      <c r="E37" s="2" t="s">
        <v>18</v>
      </c>
    </row>
    <row r="38">
      <c r="A38" s="2" t="s">
        <v>25</v>
      </c>
      <c r="B38" s="5">
        <v>46091.0</v>
      </c>
      <c r="C38" s="2">
        <v>362.0</v>
      </c>
      <c r="D38" s="2" t="s">
        <v>22</v>
      </c>
      <c r="E38" s="2" t="s">
        <v>25</v>
      </c>
    </row>
    <row r="39">
      <c r="A39" s="2" t="s">
        <v>150</v>
      </c>
      <c r="B39" s="5">
        <v>46091.0</v>
      </c>
      <c r="C39" s="2">
        <v>100.0</v>
      </c>
      <c r="D39" s="2" t="s">
        <v>147</v>
      </c>
      <c r="E39" s="2" t="s">
        <v>131</v>
      </c>
    </row>
    <row r="40">
      <c r="A40" s="2" t="s">
        <v>26</v>
      </c>
      <c r="B40" s="5">
        <v>46092.0</v>
      </c>
      <c r="C40" s="2">
        <v>400.0</v>
      </c>
      <c r="D40" s="2" t="s">
        <v>147</v>
      </c>
      <c r="E40" s="2" t="s">
        <v>28</v>
      </c>
    </row>
    <row r="41">
      <c r="A41" s="2" t="s">
        <v>25</v>
      </c>
      <c r="B41" s="5">
        <v>46092.0</v>
      </c>
      <c r="C41" s="2">
        <v>1972.0</v>
      </c>
      <c r="D41" s="2" t="s">
        <v>22</v>
      </c>
      <c r="E41" s="2" t="s">
        <v>25</v>
      </c>
    </row>
    <row r="42">
      <c r="A42" s="2" t="s">
        <v>151</v>
      </c>
      <c r="B42" s="5">
        <v>46093.0</v>
      </c>
      <c r="C42" s="2">
        <v>635.0</v>
      </c>
      <c r="D42" s="2" t="s">
        <v>147</v>
      </c>
      <c r="E42" s="2" t="s">
        <v>131</v>
      </c>
    </row>
    <row r="43">
      <c r="A43" s="2" t="s">
        <v>152</v>
      </c>
      <c r="B43" s="5">
        <v>46093.0</v>
      </c>
      <c r="C43" s="2">
        <v>315.0</v>
      </c>
      <c r="D43" s="2" t="s">
        <v>147</v>
      </c>
      <c r="E43" s="2" t="s">
        <v>131</v>
      </c>
    </row>
    <row r="44">
      <c r="A44" s="2" t="s">
        <v>22</v>
      </c>
      <c r="B44" s="5">
        <v>46093.0</v>
      </c>
      <c r="C44" s="2">
        <v>234.0</v>
      </c>
      <c r="D44" s="2" t="s">
        <v>22</v>
      </c>
      <c r="E44" s="2" t="s">
        <v>25</v>
      </c>
    </row>
    <row r="45">
      <c r="A45" s="2" t="s">
        <v>62</v>
      </c>
      <c r="B45" s="5">
        <v>46094.0</v>
      </c>
      <c r="C45" s="2">
        <v>60.0</v>
      </c>
      <c r="D45" s="2" t="s">
        <v>57</v>
      </c>
      <c r="E45" s="2" t="s">
        <v>59</v>
      </c>
    </row>
    <row r="46">
      <c r="A46" s="2" t="s">
        <v>39</v>
      </c>
      <c r="B46" s="5">
        <v>46094.0</v>
      </c>
      <c r="C46" s="2">
        <v>140.0</v>
      </c>
      <c r="D46" s="2" t="s">
        <v>7</v>
      </c>
      <c r="E46" s="2" t="s">
        <v>39</v>
      </c>
    </row>
    <row r="47">
      <c r="A47" s="2" t="s">
        <v>27</v>
      </c>
      <c r="B47" s="5">
        <v>46094.0</v>
      </c>
      <c r="C47" s="2">
        <v>320.0</v>
      </c>
      <c r="D47" s="2" t="s">
        <v>22</v>
      </c>
      <c r="E47" s="2" t="s">
        <v>27</v>
      </c>
    </row>
    <row r="48">
      <c r="A48" s="2" t="s">
        <v>145</v>
      </c>
      <c r="B48" s="5">
        <v>46094.0</v>
      </c>
      <c r="C48" s="2">
        <v>120.0</v>
      </c>
      <c r="D48" s="2" t="s">
        <v>147</v>
      </c>
      <c r="E48" s="2" t="s">
        <v>28</v>
      </c>
    </row>
    <row r="49">
      <c r="A49" s="2" t="s">
        <v>25</v>
      </c>
      <c r="B49" s="5">
        <v>46094.0</v>
      </c>
      <c r="C49" s="2">
        <v>150.0</v>
      </c>
      <c r="D49" s="2" t="s">
        <v>22</v>
      </c>
      <c r="E49" s="2" t="s">
        <v>25</v>
      </c>
    </row>
    <row r="50">
      <c r="A50" s="2" t="s">
        <v>10</v>
      </c>
      <c r="B50" s="5">
        <v>46094.0</v>
      </c>
      <c r="C50" s="2">
        <v>22.0</v>
      </c>
      <c r="D50" s="2" t="s">
        <v>7</v>
      </c>
      <c r="E50" s="2" t="s">
        <v>10</v>
      </c>
    </row>
    <row r="51">
      <c r="A51" s="2" t="s">
        <v>25</v>
      </c>
      <c r="B51" s="5">
        <v>46094.0</v>
      </c>
      <c r="C51" s="2">
        <v>601.0</v>
      </c>
      <c r="D51" s="2" t="s">
        <v>22</v>
      </c>
      <c r="E51" s="2" t="s">
        <v>25</v>
      </c>
    </row>
    <row r="52">
      <c r="A52" s="2" t="s">
        <v>64</v>
      </c>
      <c r="B52" s="5">
        <v>46094.0</v>
      </c>
      <c r="C52" s="2">
        <v>98.0</v>
      </c>
      <c r="D52" s="2" t="s">
        <v>22</v>
      </c>
      <c r="E52" s="2" t="s">
        <v>64</v>
      </c>
    </row>
    <row r="53">
      <c r="A53" s="2" t="s">
        <v>153</v>
      </c>
      <c r="B53" s="5">
        <v>46094.0</v>
      </c>
      <c r="C53" s="2">
        <v>20.0</v>
      </c>
      <c r="D53" s="2" t="s">
        <v>147</v>
      </c>
      <c r="E53" s="2" t="s">
        <v>54</v>
      </c>
    </row>
    <row r="54">
      <c r="A54" s="2" t="s">
        <v>10</v>
      </c>
      <c r="B54" s="5">
        <v>46094.0</v>
      </c>
      <c r="C54" s="2">
        <v>31.0</v>
      </c>
      <c r="D54" s="2" t="s">
        <v>7</v>
      </c>
      <c r="E54" s="2" t="s">
        <v>10</v>
      </c>
    </row>
    <row r="55">
      <c r="A55" s="2" t="s">
        <v>154</v>
      </c>
      <c r="B55" s="5">
        <v>46094.0</v>
      </c>
      <c r="C55" s="2">
        <v>32.0</v>
      </c>
      <c r="D55" s="2" t="s">
        <v>22</v>
      </c>
      <c r="E55" s="2" t="s">
        <v>27</v>
      </c>
    </row>
    <row r="56">
      <c r="A56" s="2" t="s">
        <v>155</v>
      </c>
      <c r="B56" s="5">
        <v>46094.0</v>
      </c>
      <c r="C56" s="2">
        <v>70.0</v>
      </c>
      <c r="D56" s="2" t="s">
        <v>147</v>
      </c>
      <c r="E56" s="2" t="s">
        <v>54</v>
      </c>
    </row>
    <row r="57">
      <c r="A57" s="2" t="s">
        <v>156</v>
      </c>
      <c r="B57" s="5">
        <v>46094.0</v>
      </c>
      <c r="C57" s="2">
        <v>160.0</v>
      </c>
      <c r="D57" s="2" t="s">
        <v>147</v>
      </c>
      <c r="E57" s="2" t="s">
        <v>54</v>
      </c>
    </row>
    <row r="58">
      <c r="A58" s="2" t="s">
        <v>156</v>
      </c>
      <c r="B58" s="5">
        <v>46094.0</v>
      </c>
      <c r="C58" s="2">
        <v>30.0</v>
      </c>
      <c r="D58" s="2" t="s">
        <v>147</v>
      </c>
      <c r="E58" s="2" t="s">
        <v>54</v>
      </c>
    </row>
    <row r="59">
      <c r="A59" s="2" t="s">
        <v>10</v>
      </c>
      <c r="B59" s="5">
        <v>46097.0</v>
      </c>
      <c r="C59" s="2">
        <v>51.0</v>
      </c>
      <c r="D59" s="2" t="s">
        <v>7</v>
      </c>
      <c r="E59" s="2" t="s">
        <v>10</v>
      </c>
    </row>
    <row r="60">
      <c r="A60" s="2" t="s">
        <v>92</v>
      </c>
      <c r="B60" s="5">
        <v>46097.0</v>
      </c>
      <c r="C60" s="2">
        <v>100.0</v>
      </c>
      <c r="D60" s="2" t="s">
        <v>17</v>
      </c>
      <c r="E60" s="2" t="s">
        <v>35</v>
      </c>
    </row>
    <row r="61">
      <c r="A61" s="2" t="s">
        <v>64</v>
      </c>
      <c r="B61" s="5">
        <v>46097.0</v>
      </c>
      <c r="C61" s="2">
        <v>110.0</v>
      </c>
      <c r="D61" s="2" t="s">
        <v>57</v>
      </c>
      <c r="E61" s="2" t="s">
        <v>59</v>
      </c>
    </row>
    <row r="62">
      <c r="A62" s="2" t="s">
        <v>157</v>
      </c>
      <c r="B62" s="5">
        <v>46097.0</v>
      </c>
      <c r="C62" s="2">
        <v>82.0</v>
      </c>
      <c r="D62" s="2" t="s">
        <v>54</v>
      </c>
    </row>
    <row r="63">
      <c r="A63" s="2" t="s">
        <v>25</v>
      </c>
      <c r="B63" s="5">
        <v>46097.0</v>
      </c>
      <c r="C63" s="2">
        <v>304.0</v>
      </c>
      <c r="D63" s="2" t="s">
        <v>22</v>
      </c>
      <c r="E63" s="2" t="s">
        <v>25</v>
      </c>
    </row>
    <row r="64">
      <c r="A64" s="2" t="s">
        <v>158</v>
      </c>
      <c r="B64" s="5">
        <v>46097.0</v>
      </c>
      <c r="C64" s="2">
        <v>20.0</v>
      </c>
      <c r="D64" s="2" t="s">
        <v>147</v>
      </c>
      <c r="E64" s="2" t="s">
        <v>28</v>
      </c>
    </row>
    <row r="65">
      <c r="A65" s="2" t="s">
        <v>27</v>
      </c>
      <c r="B65" s="5">
        <v>46097.0</v>
      </c>
      <c r="C65" s="2">
        <v>150.0</v>
      </c>
      <c r="D65" s="2" t="s">
        <v>22</v>
      </c>
      <c r="E65" s="2" t="s">
        <v>27</v>
      </c>
    </row>
    <row r="66">
      <c r="A66" s="2" t="s">
        <v>159</v>
      </c>
      <c r="B66" s="5">
        <v>46097.0</v>
      </c>
      <c r="C66" s="2">
        <v>644.0</v>
      </c>
      <c r="D66" s="2" t="s">
        <v>147</v>
      </c>
      <c r="E66" s="2" t="s">
        <v>131</v>
      </c>
    </row>
    <row r="67">
      <c r="A67" s="2" t="s">
        <v>160</v>
      </c>
      <c r="B67" s="5">
        <v>46097.0</v>
      </c>
      <c r="C67" s="2">
        <v>238.0</v>
      </c>
      <c r="D67" s="2" t="s">
        <v>57</v>
      </c>
      <c r="E67" s="2" t="s">
        <v>73</v>
      </c>
    </row>
    <row r="68">
      <c r="A68" s="2" t="s">
        <v>10</v>
      </c>
      <c r="B68" s="5">
        <v>46098.0</v>
      </c>
      <c r="C68" s="2">
        <v>50.0</v>
      </c>
      <c r="D68" s="2" t="s">
        <v>7</v>
      </c>
      <c r="E68" s="2" t="s">
        <v>10</v>
      </c>
    </row>
    <row r="69">
      <c r="A69" s="2" t="s">
        <v>57</v>
      </c>
      <c r="B69" s="5">
        <v>46098.0</v>
      </c>
      <c r="C69" s="2">
        <v>145.0</v>
      </c>
      <c r="D69" s="2" t="s">
        <v>57</v>
      </c>
      <c r="E69" s="2" t="s">
        <v>59</v>
      </c>
    </row>
    <row r="70">
      <c r="A70" s="2" t="s">
        <v>161</v>
      </c>
      <c r="B70" s="5">
        <v>46098.0</v>
      </c>
      <c r="C70" s="2">
        <v>60.0</v>
      </c>
    </row>
    <row r="71">
      <c r="A71" s="2" t="s">
        <v>162</v>
      </c>
      <c r="B71" s="5">
        <v>46098.0</v>
      </c>
      <c r="C71" s="2">
        <v>500.0</v>
      </c>
      <c r="D71" s="2" t="s">
        <v>48</v>
      </c>
      <c r="E71" s="2" t="s">
        <v>35</v>
      </c>
    </row>
    <row r="72">
      <c r="A72" s="2" t="s">
        <v>163</v>
      </c>
      <c r="B72" s="5">
        <v>46098.0</v>
      </c>
      <c r="C72" s="2">
        <v>180.0</v>
      </c>
      <c r="D72" s="2" t="s">
        <v>48</v>
      </c>
      <c r="E72" s="2" t="s">
        <v>35</v>
      </c>
    </row>
    <row r="73">
      <c r="A73" s="2" t="s">
        <v>39</v>
      </c>
      <c r="B73" s="5">
        <v>46098.0</v>
      </c>
      <c r="C73" s="2">
        <v>210.0</v>
      </c>
      <c r="D73" s="2" t="s">
        <v>7</v>
      </c>
      <c r="E73" s="2" t="s">
        <v>39</v>
      </c>
    </row>
    <row r="74">
      <c r="A74" s="2" t="s">
        <v>165</v>
      </c>
      <c r="B74" s="5">
        <v>46098.0</v>
      </c>
      <c r="C74" s="2">
        <v>750.0</v>
      </c>
    </row>
    <row r="75">
      <c r="A75" s="2" t="s">
        <v>25</v>
      </c>
      <c r="B75" s="5">
        <v>46098.0</v>
      </c>
      <c r="C75" s="2">
        <v>308.0</v>
      </c>
      <c r="D75" s="2" t="s">
        <v>22</v>
      </c>
      <c r="E75" s="2" t="s">
        <v>25</v>
      </c>
    </row>
    <row r="76">
      <c r="A76" s="2" t="s">
        <v>116</v>
      </c>
      <c r="B76" s="5">
        <v>46098.0</v>
      </c>
      <c r="C76" s="2">
        <v>42.0</v>
      </c>
    </row>
    <row r="77">
      <c r="A77" s="2" t="s">
        <v>167</v>
      </c>
      <c r="B77" s="5">
        <v>46098.0</v>
      </c>
      <c r="C77" s="2">
        <v>200.0</v>
      </c>
      <c r="E77" s="2" t="s">
        <v>120</v>
      </c>
    </row>
    <row r="78">
      <c r="A78" s="2" t="s">
        <v>25</v>
      </c>
      <c r="B78" s="5">
        <v>46098.0</v>
      </c>
      <c r="C78" s="2">
        <v>528.0</v>
      </c>
      <c r="D78" s="2" t="s">
        <v>22</v>
      </c>
      <c r="E78" s="2" t="s">
        <v>25</v>
      </c>
    </row>
    <row r="79">
      <c r="A79" s="2" t="s">
        <v>27</v>
      </c>
      <c r="B79" s="5">
        <v>46098.0</v>
      </c>
      <c r="C79" s="2">
        <v>70.0</v>
      </c>
      <c r="D79" s="2" t="s">
        <v>22</v>
      </c>
      <c r="E79" s="2" t="s">
        <v>27</v>
      </c>
    </row>
    <row r="80">
      <c r="A80" s="2" t="s">
        <v>13</v>
      </c>
      <c r="B80" s="5">
        <v>46098.0</v>
      </c>
      <c r="C80" s="2">
        <v>10.0</v>
      </c>
    </row>
    <row r="81">
      <c r="A81" s="2" t="s">
        <v>10</v>
      </c>
      <c r="B81" s="5">
        <v>46099.0</v>
      </c>
      <c r="C81" s="2">
        <v>17.0</v>
      </c>
      <c r="D81" s="2" t="s">
        <v>7</v>
      </c>
      <c r="E81" s="2" t="s">
        <v>10</v>
      </c>
    </row>
    <row r="82">
      <c r="A82" s="2" t="s">
        <v>170</v>
      </c>
      <c r="B82" s="5">
        <v>46099.0</v>
      </c>
      <c r="C82" s="2">
        <v>220.0</v>
      </c>
      <c r="D82" s="2" t="s">
        <v>54</v>
      </c>
    </row>
    <row r="83">
      <c r="A83" s="2" t="s">
        <v>91</v>
      </c>
      <c r="B83" s="5">
        <v>46099.0</v>
      </c>
      <c r="C83" s="2">
        <v>50.0</v>
      </c>
      <c r="D83" s="2" t="s">
        <v>57</v>
      </c>
      <c r="E83" s="2" t="s">
        <v>59</v>
      </c>
    </row>
    <row r="84">
      <c r="A84" s="2" t="s">
        <v>17</v>
      </c>
      <c r="B84" s="5">
        <v>46099.0</v>
      </c>
      <c r="C84" s="2">
        <v>25.0</v>
      </c>
    </row>
    <row r="85">
      <c r="A85" s="2" t="s">
        <v>171</v>
      </c>
      <c r="B85" s="5">
        <v>46099.0</v>
      </c>
      <c r="C85" s="2">
        <v>50.0</v>
      </c>
      <c r="D85" s="2" t="s">
        <v>22</v>
      </c>
      <c r="E85" s="2" t="s">
        <v>28</v>
      </c>
    </row>
    <row r="86">
      <c r="A86" s="2" t="s">
        <v>10</v>
      </c>
      <c r="B86" s="5">
        <v>46099.0</v>
      </c>
      <c r="C86" s="2">
        <v>16.0</v>
      </c>
      <c r="D86" s="2" t="s">
        <v>7</v>
      </c>
      <c r="E86" s="2" t="s">
        <v>10</v>
      </c>
    </row>
    <row r="87">
      <c r="A87" s="2" t="s">
        <v>156</v>
      </c>
      <c r="B87" s="5">
        <v>46099.0</v>
      </c>
      <c r="C87" s="2">
        <v>45.0</v>
      </c>
      <c r="D87" s="2" t="s">
        <v>13</v>
      </c>
    </row>
    <row r="88">
      <c r="A88" s="2" t="s">
        <v>13</v>
      </c>
      <c r="B88" s="5">
        <v>46099.0</v>
      </c>
      <c r="C88" s="2">
        <v>40.0</v>
      </c>
      <c r="D88" s="2" t="s">
        <v>13</v>
      </c>
    </row>
    <row r="89">
      <c r="A89" s="2" t="s">
        <v>10</v>
      </c>
      <c r="B89" s="5">
        <v>46099.0</v>
      </c>
      <c r="C89" s="2">
        <v>16.0</v>
      </c>
      <c r="D89" s="2" t="s">
        <v>7</v>
      </c>
      <c r="E89" s="2" t="s">
        <v>10</v>
      </c>
    </row>
    <row r="90">
      <c r="A90" s="2" t="s">
        <v>17</v>
      </c>
      <c r="B90" s="5">
        <v>46099.0</v>
      </c>
      <c r="C90" s="2">
        <v>1848.0</v>
      </c>
      <c r="D90" s="2" t="s">
        <v>17</v>
      </c>
      <c r="E90" s="2" t="s">
        <v>35</v>
      </c>
    </row>
    <row r="91">
      <c r="A91" s="2" t="s">
        <v>10</v>
      </c>
      <c r="B91" s="5">
        <v>46100.0</v>
      </c>
      <c r="C91" s="2">
        <v>68.0</v>
      </c>
      <c r="D91" s="2" t="s">
        <v>7</v>
      </c>
      <c r="E91" s="2" t="s">
        <v>10</v>
      </c>
    </row>
    <row r="92">
      <c r="A92" s="2" t="s">
        <v>22</v>
      </c>
      <c r="B92" s="5">
        <v>46100.0</v>
      </c>
      <c r="C92" s="2">
        <v>142.0</v>
      </c>
      <c r="D92" s="2" t="s">
        <v>22</v>
      </c>
      <c r="E92" s="2" t="s">
        <v>172</v>
      </c>
    </row>
    <row r="93">
      <c r="A93" s="2" t="s">
        <v>19</v>
      </c>
      <c r="B93" s="5">
        <v>46100.0</v>
      </c>
      <c r="C93" s="2">
        <v>46.0</v>
      </c>
      <c r="D93" s="2" t="s">
        <v>22</v>
      </c>
      <c r="E93" s="2" t="s">
        <v>23</v>
      </c>
    </row>
    <row r="94">
      <c r="A94" s="2" t="s">
        <v>62</v>
      </c>
      <c r="B94" s="5">
        <v>46100.0</v>
      </c>
      <c r="C94" s="2">
        <v>180.0</v>
      </c>
      <c r="D94" s="2" t="s">
        <v>57</v>
      </c>
      <c r="E94" s="2" t="s">
        <v>59</v>
      </c>
    </row>
    <row r="95">
      <c r="A95" s="2" t="s">
        <v>134</v>
      </c>
      <c r="B95" s="5">
        <v>46100.0</v>
      </c>
      <c r="C95" s="2">
        <v>304.0</v>
      </c>
      <c r="D95" s="2" t="s">
        <v>134</v>
      </c>
      <c r="E95" s="2" t="s">
        <v>35</v>
      </c>
    </row>
    <row r="96">
      <c r="A96" s="2" t="s">
        <v>87</v>
      </c>
      <c r="B96" s="5">
        <v>46100.0</v>
      </c>
      <c r="C96" s="2">
        <v>469.0</v>
      </c>
      <c r="D96" s="2" t="s">
        <v>22</v>
      </c>
      <c r="E96" s="2" t="s">
        <v>25</v>
      </c>
    </row>
    <row r="97">
      <c r="A97" s="2" t="s">
        <v>23</v>
      </c>
      <c r="B97" s="5">
        <v>46100.0</v>
      </c>
      <c r="C97" s="2">
        <v>50.0</v>
      </c>
      <c r="D97" s="2" t="s">
        <v>22</v>
      </c>
      <c r="E97" s="2" t="s">
        <v>23</v>
      </c>
    </row>
    <row r="98">
      <c r="A98" s="2" t="s">
        <v>174</v>
      </c>
      <c r="B98" s="5">
        <v>46100.0</v>
      </c>
      <c r="C98" s="2">
        <v>549.0</v>
      </c>
      <c r="D98" s="2" t="s">
        <v>175</v>
      </c>
      <c r="E98" s="2" t="s">
        <v>18</v>
      </c>
    </row>
    <row r="99">
      <c r="A99" s="2" t="s">
        <v>26</v>
      </c>
      <c r="B99" s="5">
        <v>46100.0</v>
      </c>
      <c r="C99" s="2">
        <v>400.0</v>
      </c>
      <c r="D99" s="2" t="s">
        <v>147</v>
      </c>
    </row>
    <row r="100">
      <c r="A100" s="2" t="s">
        <v>23</v>
      </c>
      <c r="B100" s="5">
        <v>46100.0</v>
      </c>
      <c r="C100" s="2">
        <v>686.0</v>
      </c>
      <c r="D100" s="2" t="s">
        <v>22</v>
      </c>
      <c r="E100" s="2" t="s">
        <v>23</v>
      </c>
    </row>
    <row r="101">
      <c r="A101" s="2" t="s">
        <v>176</v>
      </c>
      <c r="B101" s="5">
        <v>46100.0</v>
      </c>
      <c r="C101" s="2">
        <v>60.0</v>
      </c>
    </row>
    <row r="102">
      <c r="A102" s="2" t="s">
        <v>39</v>
      </c>
      <c r="B102" s="5">
        <v>46100.0</v>
      </c>
      <c r="C102" s="2">
        <v>70.0</v>
      </c>
      <c r="D102" s="2" t="s">
        <v>7</v>
      </c>
    </row>
    <row r="103">
      <c r="A103" s="2" t="s">
        <v>177</v>
      </c>
      <c r="B103" s="5">
        <v>46100.0</v>
      </c>
      <c r="C103" s="2">
        <v>60.0</v>
      </c>
      <c r="D103" s="2" t="s">
        <v>57</v>
      </c>
      <c r="E103" s="2" t="s">
        <v>59</v>
      </c>
    </row>
    <row r="104">
      <c r="A104" s="2" t="s">
        <v>27</v>
      </c>
      <c r="B104" s="5">
        <v>46100.0</v>
      </c>
      <c r="C104" s="2">
        <v>70.0</v>
      </c>
      <c r="D104" s="2" t="s">
        <v>22</v>
      </c>
      <c r="E104" s="2" t="s">
        <v>27</v>
      </c>
    </row>
    <row r="105">
      <c r="A105" s="2" t="s">
        <v>83</v>
      </c>
      <c r="B105" s="5">
        <v>46103.0</v>
      </c>
      <c r="C105" s="2">
        <v>225.0</v>
      </c>
    </row>
    <row r="106">
      <c r="A106" s="2" t="s">
        <v>178</v>
      </c>
      <c r="B106" s="5">
        <v>46104.0</v>
      </c>
      <c r="C106" s="2">
        <v>250.0</v>
      </c>
      <c r="D106" s="2" t="s">
        <v>147</v>
      </c>
    </row>
    <row r="107">
      <c r="A107" s="2" t="s">
        <v>10</v>
      </c>
      <c r="B107" s="5">
        <v>46105.0</v>
      </c>
      <c r="C107" s="2">
        <v>24.0</v>
      </c>
      <c r="D107" s="2" t="s">
        <v>7</v>
      </c>
      <c r="E107" s="2" t="s">
        <v>10</v>
      </c>
    </row>
    <row r="108">
      <c r="A108" s="2" t="s">
        <v>39</v>
      </c>
      <c r="B108" s="5">
        <v>46105.0</v>
      </c>
      <c r="C108" s="2">
        <v>80.0</v>
      </c>
      <c r="D108" s="2" t="s">
        <v>7</v>
      </c>
      <c r="E108" s="2" t="s">
        <v>39</v>
      </c>
    </row>
    <row r="109">
      <c r="A109" s="2" t="s">
        <v>64</v>
      </c>
      <c r="B109" s="5">
        <v>46105.0</v>
      </c>
      <c r="C109" s="2">
        <v>70.0</v>
      </c>
      <c r="D109" s="2" t="s">
        <v>57</v>
      </c>
      <c r="E109" s="2" t="s">
        <v>59</v>
      </c>
    </row>
    <row r="110">
      <c r="A110" s="2" t="s">
        <v>179</v>
      </c>
      <c r="B110" s="5">
        <v>46105.0</v>
      </c>
      <c r="C110" s="2">
        <v>350.0</v>
      </c>
    </row>
    <row r="111">
      <c r="A111" s="2" t="s">
        <v>62</v>
      </c>
      <c r="B111" s="5">
        <v>46105.0</v>
      </c>
      <c r="C111" s="2">
        <v>100.0</v>
      </c>
      <c r="D111" s="2" t="s">
        <v>57</v>
      </c>
      <c r="E111" s="2" t="s">
        <v>59</v>
      </c>
    </row>
    <row r="112">
      <c r="A112" s="2" t="s">
        <v>180</v>
      </c>
      <c r="B112" s="5">
        <v>46105.0</v>
      </c>
      <c r="C112" s="2">
        <v>800.0</v>
      </c>
    </row>
    <row r="113">
      <c r="A113" s="2" t="s">
        <v>10</v>
      </c>
      <c r="B113" s="5">
        <v>46105.0</v>
      </c>
      <c r="C113" s="2">
        <v>45.0</v>
      </c>
      <c r="D113" s="2" t="s">
        <v>7</v>
      </c>
      <c r="E113" s="2" t="s">
        <v>10</v>
      </c>
    </row>
    <row r="114">
      <c r="A114" s="2" t="s">
        <v>25</v>
      </c>
      <c r="B114" s="5">
        <v>46105.0</v>
      </c>
      <c r="C114" s="2">
        <v>419.0</v>
      </c>
      <c r="D114" s="2" t="s">
        <v>22</v>
      </c>
      <c r="E114" s="2" t="s">
        <v>25</v>
      </c>
    </row>
    <row r="115">
      <c r="A115" s="2" t="s">
        <v>134</v>
      </c>
      <c r="B115" s="5">
        <v>46105.0</v>
      </c>
      <c r="C115" s="2">
        <v>440.0</v>
      </c>
      <c r="D115" s="2" t="s">
        <v>134</v>
      </c>
      <c r="E115" s="2" t="s">
        <v>35</v>
      </c>
    </row>
    <row r="116">
      <c r="A116" s="2" t="s">
        <v>84</v>
      </c>
      <c r="B116" s="5">
        <v>46106.0</v>
      </c>
      <c r="C116" s="2">
        <v>727.0</v>
      </c>
      <c r="D116" s="2" t="s">
        <v>22</v>
      </c>
      <c r="E116" s="2" t="s">
        <v>84</v>
      </c>
    </row>
    <row r="117">
      <c r="A117" s="2" t="s">
        <v>17</v>
      </c>
      <c r="B117" s="5">
        <v>46106.0</v>
      </c>
      <c r="C117" s="2">
        <v>363.0</v>
      </c>
      <c r="D117" s="2" t="s">
        <v>17</v>
      </c>
      <c r="E117" s="2" t="s">
        <v>35</v>
      </c>
    </row>
    <row r="118">
      <c r="A118" s="2" t="s">
        <v>17</v>
      </c>
      <c r="B118" s="5">
        <v>46106.0</v>
      </c>
      <c r="C118" s="2">
        <v>776.0</v>
      </c>
      <c r="D118" s="2" t="s">
        <v>17</v>
      </c>
      <c r="E118" s="2" t="s">
        <v>18</v>
      </c>
    </row>
    <row r="119">
      <c r="A119" s="2" t="s">
        <v>17</v>
      </c>
      <c r="B119" s="5">
        <v>46106.0</v>
      </c>
      <c r="C119" s="2">
        <v>161.0</v>
      </c>
      <c r="D119" s="2" t="s">
        <v>17</v>
      </c>
      <c r="E119" s="2" t="s">
        <v>28</v>
      </c>
    </row>
    <row r="120">
      <c r="A120" s="2" t="s">
        <v>64</v>
      </c>
      <c r="B120" s="5">
        <v>46108.0</v>
      </c>
      <c r="C120" s="2">
        <v>35.0</v>
      </c>
      <c r="D120" s="2" t="s">
        <v>57</v>
      </c>
      <c r="E120" s="2" t="s">
        <v>59</v>
      </c>
    </row>
    <row r="121">
      <c r="A121" s="2" t="s">
        <v>23</v>
      </c>
      <c r="B121" s="5">
        <v>46108.0</v>
      </c>
      <c r="C121" s="2">
        <v>50.0</v>
      </c>
      <c r="D121" s="2" t="s">
        <v>22</v>
      </c>
      <c r="E121" s="2" t="s">
        <v>23</v>
      </c>
    </row>
    <row r="122">
      <c r="A122" s="2" t="s">
        <v>27</v>
      </c>
      <c r="B122" s="5">
        <v>46108.0</v>
      </c>
      <c r="C122" s="2">
        <v>30.0</v>
      </c>
      <c r="D122" s="2" t="s">
        <v>22</v>
      </c>
      <c r="E122" s="2" t="s">
        <v>27</v>
      </c>
    </row>
    <row r="123">
      <c r="A123" s="2" t="s">
        <v>91</v>
      </c>
      <c r="B123" s="5">
        <v>46108.0</v>
      </c>
      <c r="C123" s="2">
        <v>50.0</v>
      </c>
      <c r="D123" s="2" t="s">
        <v>57</v>
      </c>
      <c r="E123" s="2" t="s">
        <v>59</v>
      </c>
    </row>
    <row r="124">
      <c r="A124" s="2" t="s">
        <v>185</v>
      </c>
      <c r="C124" s="2">
        <v>1000.0</v>
      </c>
    </row>
    <row r="125">
      <c r="A125" s="2" t="s">
        <v>186</v>
      </c>
      <c r="C125" s="2">
        <v>-7000.0</v>
      </c>
    </row>
    <row r="126">
      <c r="A126" s="2" t="s">
        <v>146</v>
      </c>
      <c r="C126" s="2">
        <v>-30000.0</v>
      </c>
    </row>
    <row r="127">
      <c r="A127" s="2" t="s">
        <v>187</v>
      </c>
      <c r="C127" s="13">
        <f>SUM(C2:C123)</f>
        <v>28375</v>
      </c>
    </row>
    <row r="128">
      <c r="A128" s="2" t="s">
        <v>189</v>
      </c>
      <c r="C128" s="13">
        <f>SUM(C2:C126)</f>
        <v>-7625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63"/>
  </cols>
  <sheetData>
    <row r="1">
      <c r="A1" s="3" t="s">
        <v>0</v>
      </c>
      <c r="B1" s="8" t="s">
        <v>1</v>
      </c>
      <c r="C1" s="3" t="s">
        <v>4</v>
      </c>
      <c r="D1" s="3" t="s">
        <v>2</v>
      </c>
      <c r="E1" s="3" t="s">
        <v>3</v>
      </c>
    </row>
    <row r="2">
      <c r="A2" s="2" t="s">
        <v>5</v>
      </c>
      <c r="B2" s="5">
        <v>46113.0</v>
      </c>
      <c r="C2" s="2">
        <v>20.0</v>
      </c>
    </row>
    <row r="3">
      <c r="A3" s="2" t="s">
        <v>11</v>
      </c>
      <c r="B3" s="5">
        <v>46113.0</v>
      </c>
      <c r="C3" s="2">
        <v>105.0</v>
      </c>
      <c r="D3" s="2" t="s">
        <v>22</v>
      </c>
    </row>
    <row r="4">
      <c r="A4" s="2" t="s">
        <v>27</v>
      </c>
      <c r="B4" s="5">
        <v>46113.0</v>
      </c>
      <c r="C4" s="2">
        <v>488.0</v>
      </c>
      <c r="D4" s="2" t="s">
        <v>22</v>
      </c>
      <c r="E4" s="2" t="s">
        <v>23</v>
      </c>
    </row>
    <row r="5">
      <c r="A5" s="2" t="s">
        <v>25</v>
      </c>
      <c r="B5" s="5">
        <v>46116.0</v>
      </c>
      <c r="C5" s="2">
        <v>183.0</v>
      </c>
      <c r="D5" s="2" t="s">
        <v>22</v>
      </c>
      <c r="E5" s="2" t="s">
        <v>25</v>
      </c>
    </row>
    <row r="6">
      <c r="A6" s="2" t="s">
        <v>11</v>
      </c>
      <c r="B6" s="5">
        <v>46117.0</v>
      </c>
      <c r="C6" s="2">
        <v>105.0</v>
      </c>
      <c r="D6" s="2" t="s">
        <v>22</v>
      </c>
    </row>
    <row r="7">
      <c r="A7" s="2" t="s">
        <v>164</v>
      </c>
      <c r="B7" s="5">
        <v>46118.0</v>
      </c>
      <c r="C7" s="2">
        <v>245.0</v>
      </c>
      <c r="D7" s="2" t="s">
        <v>147</v>
      </c>
      <c r="E7" s="2" t="s">
        <v>28</v>
      </c>
    </row>
    <row r="8">
      <c r="A8" s="2" t="s">
        <v>11</v>
      </c>
      <c r="B8" s="5">
        <v>46118.0</v>
      </c>
      <c r="C8" s="2">
        <v>90.0</v>
      </c>
      <c r="D8" s="2" t="s">
        <v>22</v>
      </c>
    </row>
    <row r="9">
      <c r="A9" s="2" t="s">
        <v>166</v>
      </c>
      <c r="B9" s="5">
        <v>46118.0</v>
      </c>
      <c r="C9" s="2">
        <v>350.0</v>
      </c>
      <c r="D9" s="2" t="s">
        <v>147</v>
      </c>
      <c r="E9" s="2" t="s">
        <v>131</v>
      </c>
    </row>
    <row r="10">
      <c r="A10" s="2" t="s">
        <v>39</v>
      </c>
      <c r="B10" s="5">
        <v>46118.0</v>
      </c>
      <c r="C10" s="2">
        <v>200.0</v>
      </c>
      <c r="D10" s="2" t="s">
        <v>7</v>
      </c>
      <c r="E10" s="2" t="s">
        <v>39</v>
      </c>
    </row>
    <row r="11">
      <c r="A11" s="2" t="s">
        <v>55</v>
      </c>
      <c r="B11" s="5">
        <v>46118.0</v>
      </c>
      <c r="C11" s="2">
        <v>105.0</v>
      </c>
      <c r="D11" s="2" t="s">
        <v>57</v>
      </c>
      <c r="E11" s="2" t="s">
        <v>59</v>
      </c>
    </row>
    <row r="12">
      <c r="A12" s="2" t="s">
        <v>168</v>
      </c>
      <c r="B12" s="5">
        <v>46118.0</v>
      </c>
      <c r="C12" s="2">
        <v>450.0</v>
      </c>
      <c r="D12" s="2" t="s">
        <v>22</v>
      </c>
      <c r="E12" s="2" t="s">
        <v>25</v>
      </c>
    </row>
    <row r="13">
      <c r="A13" s="2" t="s">
        <v>25</v>
      </c>
      <c r="B13" s="5">
        <v>46118.0</v>
      </c>
      <c r="C13" s="2">
        <v>859.0</v>
      </c>
      <c r="D13" s="2" t="s">
        <v>22</v>
      </c>
      <c r="E13" s="2" t="s">
        <v>25</v>
      </c>
    </row>
    <row r="14">
      <c r="A14" s="2" t="s">
        <v>169</v>
      </c>
      <c r="B14" s="5">
        <v>46118.0</v>
      </c>
      <c r="C14" s="2">
        <v>100.0</v>
      </c>
      <c r="D14" s="2" t="s">
        <v>22</v>
      </c>
    </row>
    <row r="15">
      <c r="A15" s="2" t="s">
        <v>17</v>
      </c>
      <c r="B15" s="5">
        <v>46118.0</v>
      </c>
      <c r="C15" s="2">
        <v>76.0</v>
      </c>
      <c r="D15" s="2" t="s">
        <v>17</v>
      </c>
      <c r="E15" s="2" t="s">
        <v>35</v>
      </c>
    </row>
    <row r="16">
      <c r="A16" s="2" t="s">
        <v>39</v>
      </c>
      <c r="B16" s="5">
        <v>46118.0</v>
      </c>
      <c r="C16" s="2">
        <v>300.0</v>
      </c>
      <c r="D16" s="2" t="s">
        <v>7</v>
      </c>
      <c r="E16" s="2" t="s">
        <v>39</v>
      </c>
    </row>
    <row r="17">
      <c r="A17" s="2" t="s">
        <v>11</v>
      </c>
      <c r="B17" s="5">
        <v>46119.0</v>
      </c>
      <c r="C17" s="2">
        <v>1998.0</v>
      </c>
      <c r="D17" s="2" t="s">
        <v>22</v>
      </c>
      <c r="E17" s="2" t="s">
        <v>11</v>
      </c>
    </row>
    <row r="18">
      <c r="A18" s="2" t="s">
        <v>13</v>
      </c>
      <c r="B18" s="5">
        <v>46119.0</v>
      </c>
      <c r="C18" s="2">
        <v>100.0</v>
      </c>
      <c r="D18" s="2" t="s">
        <v>13</v>
      </c>
    </row>
    <row r="19">
      <c r="A19" s="2" t="s">
        <v>39</v>
      </c>
      <c r="B19" s="5">
        <v>46119.0</v>
      </c>
      <c r="C19" s="2">
        <v>290.0</v>
      </c>
      <c r="D19" s="2" t="s">
        <v>7</v>
      </c>
      <c r="E19" s="2" t="s">
        <v>39</v>
      </c>
    </row>
    <row r="20">
      <c r="A20" s="2" t="s">
        <v>27</v>
      </c>
      <c r="B20" s="5">
        <v>46119.0</v>
      </c>
      <c r="C20" s="2">
        <v>350.0</v>
      </c>
      <c r="D20" s="2" t="s">
        <v>22</v>
      </c>
      <c r="E20" s="2" t="s">
        <v>27</v>
      </c>
    </row>
    <row r="21">
      <c r="A21" s="2" t="s">
        <v>23</v>
      </c>
      <c r="B21" s="5">
        <v>46120.0</v>
      </c>
      <c r="C21" s="2">
        <v>489.0</v>
      </c>
      <c r="D21" s="2" t="s">
        <v>22</v>
      </c>
      <c r="E21" s="2" t="s">
        <v>23</v>
      </c>
    </row>
    <row r="22">
      <c r="A22" s="2" t="s">
        <v>39</v>
      </c>
      <c r="B22" s="5">
        <v>46120.0</v>
      </c>
      <c r="C22" s="2">
        <v>150.0</v>
      </c>
      <c r="D22" s="2" t="s">
        <v>7</v>
      </c>
      <c r="E22" s="2" t="s">
        <v>39</v>
      </c>
    </row>
    <row r="23">
      <c r="A23" s="2" t="s">
        <v>149</v>
      </c>
      <c r="B23" s="5">
        <v>46120.0</v>
      </c>
      <c r="C23" s="2">
        <v>84.0</v>
      </c>
      <c r="D23" s="2" t="s">
        <v>7</v>
      </c>
      <c r="E23" s="2" t="s">
        <v>39</v>
      </c>
    </row>
    <row r="24">
      <c r="A24" s="2" t="s">
        <v>25</v>
      </c>
      <c r="B24" s="5">
        <v>46120.0</v>
      </c>
      <c r="C24" s="2">
        <v>750.0</v>
      </c>
      <c r="D24" s="2" t="s">
        <v>22</v>
      </c>
      <c r="E24" s="2" t="s">
        <v>25</v>
      </c>
    </row>
    <row r="25">
      <c r="A25" s="2" t="s">
        <v>39</v>
      </c>
      <c r="B25" s="5">
        <v>46122.0</v>
      </c>
      <c r="C25" s="2">
        <v>200.0</v>
      </c>
      <c r="D25" s="2" t="s">
        <v>7</v>
      </c>
      <c r="E25" s="2" t="s">
        <v>39</v>
      </c>
    </row>
    <row r="26">
      <c r="A26" s="2" t="s">
        <v>127</v>
      </c>
      <c r="B26" s="5">
        <v>46122.0</v>
      </c>
      <c r="C26" s="2">
        <v>144.0</v>
      </c>
      <c r="D26" s="2" t="s">
        <v>147</v>
      </c>
      <c r="E26" s="2" t="s">
        <v>28</v>
      </c>
    </row>
    <row r="27">
      <c r="A27" s="2" t="s">
        <v>25</v>
      </c>
      <c r="B27" s="5">
        <v>46122.0</v>
      </c>
      <c r="C27" s="2">
        <v>293.0</v>
      </c>
      <c r="D27" s="2" t="s">
        <v>22</v>
      </c>
      <c r="E27" s="2" t="s">
        <v>25</v>
      </c>
    </row>
    <row r="28">
      <c r="A28" s="2" t="s">
        <v>17</v>
      </c>
      <c r="B28" s="5">
        <v>46123.0</v>
      </c>
      <c r="C28" s="2">
        <v>508.0</v>
      </c>
      <c r="D28" s="2" t="s">
        <v>17</v>
      </c>
      <c r="E28" s="2" t="s">
        <v>121</v>
      </c>
    </row>
    <row r="29">
      <c r="A29" s="2" t="s">
        <v>15</v>
      </c>
      <c r="B29" s="5">
        <v>46123.0</v>
      </c>
      <c r="C29" s="2">
        <v>960.0</v>
      </c>
      <c r="D29" s="2" t="s">
        <v>147</v>
      </c>
      <c r="E29" s="2" t="s">
        <v>173</v>
      </c>
    </row>
    <row r="30">
      <c r="A30" s="2" t="s">
        <v>8</v>
      </c>
      <c r="B30" s="5">
        <v>46123.0</v>
      </c>
      <c r="C30" s="2">
        <v>60.0</v>
      </c>
      <c r="D30" s="2" t="s">
        <v>147</v>
      </c>
      <c r="E30" s="2" t="s">
        <v>8</v>
      </c>
    </row>
    <row r="31">
      <c r="A31" s="2" t="s">
        <v>83</v>
      </c>
      <c r="B31" s="5">
        <v>46123.0</v>
      </c>
      <c r="C31" s="2">
        <v>150.0</v>
      </c>
    </row>
    <row r="32">
      <c r="A32" s="2" t="s">
        <v>23</v>
      </c>
      <c r="B32" s="5">
        <v>46123.0</v>
      </c>
      <c r="C32" s="2">
        <v>823.0</v>
      </c>
      <c r="D32" s="2" t="s">
        <v>22</v>
      </c>
      <c r="E32" s="2" t="s">
        <v>25</v>
      </c>
    </row>
    <row r="33">
      <c r="A33" s="2" t="s">
        <v>106</v>
      </c>
      <c r="B33" s="5">
        <v>46123.0</v>
      </c>
      <c r="C33" s="2">
        <v>60.0</v>
      </c>
      <c r="D33" s="2" t="s">
        <v>22</v>
      </c>
    </row>
    <row r="34">
      <c r="A34" s="2" t="s">
        <v>64</v>
      </c>
      <c r="B34" s="5">
        <v>46123.0</v>
      </c>
      <c r="C34" s="2">
        <v>75.0</v>
      </c>
      <c r="D34" s="2" t="s">
        <v>57</v>
      </c>
      <c r="E34" s="2" t="s">
        <v>59</v>
      </c>
    </row>
    <row r="35">
      <c r="A35" s="2" t="s">
        <v>39</v>
      </c>
      <c r="B35" s="5">
        <v>46123.0</v>
      </c>
      <c r="C35" s="2">
        <v>50.0</v>
      </c>
      <c r="D35" s="2" t="s">
        <v>7</v>
      </c>
      <c r="E35" s="2" t="s">
        <v>39</v>
      </c>
    </row>
    <row r="36">
      <c r="A36" s="2" t="s">
        <v>27</v>
      </c>
      <c r="B36" s="5">
        <v>46123.0</v>
      </c>
      <c r="C36" s="2">
        <v>144.0</v>
      </c>
      <c r="D36" s="2" t="s">
        <v>22</v>
      </c>
      <c r="E36" s="2" t="s">
        <v>27</v>
      </c>
    </row>
    <row r="37">
      <c r="A37" s="2" t="s">
        <v>127</v>
      </c>
      <c r="B37" s="5">
        <v>46124.0</v>
      </c>
      <c r="C37" s="2">
        <v>200.0</v>
      </c>
      <c r="D37" s="2" t="s">
        <v>147</v>
      </c>
      <c r="E37" s="2" t="s">
        <v>28</v>
      </c>
    </row>
    <row r="38">
      <c r="A38" s="2" t="s">
        <v>10</v>
      </c>
      <c r="B38" s="5">
        <v>46125.0</v>
      </c>
      <c r="C38" s="2">
        <v>5.0</v>
      </c>
      <c r="D38" s="2" t="s">
        <v>7</v>
      </c>
      <c r="E38" s="2" t="s">
        <v>10</v>
      </c>
    </row>
    <row r="39">
      <c r="A39" s="2" t="s">
        <v>39</v>
      </c>
      <c r="B39" s="5">
        <v>46125.0</v>
      </c>
      <c r="C39" s="2">
        <v>50.0</v>
      </c>
      <c r="D39" s="2" t="s">
        <v>7</v>
      </c>
      <c r="E39" s="2" t="s">
        <v>39</v>
      </c>
    </row>
    <row r="40">
      <c r="A40" s="2" t="s">
        <v>24</v>
      </c>
      <c r="B40" s="5">
        <v>46125.0</v>
      </c>
      <c r="C40" s="2">
        <v>220.0</v>
      </c>
      <c r="D40" s="2" t="s">
        <v>22</v>
      </c>
      <c r="E40" s="2" t="s">
        <v>24</v>
      </c>
    </row>
    <row r="41">
      <c r="A41" s="2" t="s">
        <v>27</v>
      </c>
      <c r="B41" s="5">
        <v>46125.0</v>
      </c>
      <c r="C41" s="2">
        <v>120.0</v>
      </c>
      <c r="D41" s="2" t="s">
        <v>22</v>
      </c>
      <c r="E41" s="2" t="s">
        <v>27</v>
      </c>
    </row>
    <row r="42">
      <c r="A42" s="2" t="s">
        <v>54</v>
      </c>
      <c r="B42" s="5">
        <v>46125.0</v>
      </c>
      <c r="C42" s="2">
        <v>202.0</v>
      </c>
      <c r="D42" s="2" t="s">
        <v>54</v>
      </c>
    </row>
    <row r="43">
      <c r="A43" s="2" t="s">
        <v>10</v>
      </c>
      <c r="B43" s="5">
        <v>46126.0</v>
      </c>
      <c r="C43" s="2">
        <v>108.0</v>
      </c>
      <c r="D43" s="2" t="s">
        <v>7</v>
      </c>
      <c r="E43" s="2" t="s">
        <v>10</v>
      </c>
    </row>
    <row r="44">
      <c r="A44" s="2" t="s">
        <v>25</v>
      </c>
      <c r="B44" s="5">
        <v>46126.0</v>
      </c>
      <c r="C44" s="2">
        <v>40.0</v>
      </c>
      <c r="D44" s="2" t="s">
        <v>22</v>
      </c>
    </row>
    <row r="45" ht="17.25" customHeight="1">
      <c r="A45" s="2" t="s">
        <v>62</v>
      </c>
      <c r="B45" s="5">
        <v>46126.0</v>
      </c>
      <c r="C45" s="2">
        <v>150.0</v>
      </c>
      <c r="D45" s="2" t="s">
        <v>57</v>
      </c>
      <c r="E45" s="2" t="s">
        <v>59</v>
      </c>
    </row>
    <row r="46" ht="17.25" customHeight="1">
      <c r="A46" s="2" t="s">
        <v>10</v>
      </c>
      <c r="B46" s="5">
        <v>46126.0</v>
      </c>
      <c r="C46" s="2">
        <v>49.0</v>
      </c>
      <c r="D46" s="2" t="s">
        <v>7</v>
      </c>
      <c r="E46" s="2" t="s">
        <v>10</v>
      </c>
    </row>
    <row r="47">
      <c r="A47" s="2" t="s">
        <v>181</v>
      </c>
      <c r="B47" s="5">
        <v>46127.0</v>
      </c>
      <c r="C47" s="2">
        <v>6000.0</v>
      </c>
      <c r="D47" s="2" t="s">
        <v>147</v>
      </c>
      <c r="E47" s="2" t="s">
        <v>182</v>
      </c>
    </row>
    <row r="48">
      <c r="A48" s="2" t="s">
        <v>17</v>
      </c>
      <c r="B48" s="5">
        <v>46127.0</v>
      </c>
      <c r="C48" s="2">
        <v>2147.0</v>
      </c>
      <c r="D48" s="2" t="s">
        <v>17</v>
      </c>
      <c r="E48" s="2" t="s">
        <v>35</v>
      </c>
    </row>
    <row r="49">
      <c r="A49" s="2" t="s">
        <v>183</v>
      </c>
      <c r="B49" s="5">
        <v>46128.0</v>
      </c>
      <c r="C49" s="2">
        <v>419.0</v>
      </c>
      <c r="D49" s="2" t="s">
        <v>147</v>
      </c>
      <c r="E49" s="2" t="s">
        <v>182</v>
      </c>
    </row>
    <row r="50">
      <c r="A50" s="2" t="s">
        <v>64</v>
      </c>
      <c r="B50" s="5">
        <v>46128.0</v>
      </c>
      <c r="C50" s="2">
        <v>90.0</v>
      </c>
      <c r="D50" s="2" t="s">
        <v>22</v>
      </c>
      <c r="E50" s="2" t="s">
        <v>64</v>
      </c>
    </row>
    <row r="51">
      <c r="A51" s="2" t="s">
        <v>184</v>
      </c>
      <c r="B51" s="5">
        <v>46128.0</v>
      </c>
      <c r="C51" s="2">
        <v>126.0</v>
      </c>
      <c r="D51" s="2" t="s">
        <v>147</v>
      </c>
      <c r="E51" s="2" t="s">
        <v>28</v>
      </c>
    </row>
    <row r="52">
      <c r="A52" s="2" t="s">
        <v>25</v>
      </c>
      <c r="B52" s="5">
        <v>46128.0</v>
      </c>
      <c r="C52" s="2">
        <v>1024.0</v>
      </c>
      <c r="D52" s="2" t="s">
        <v>22</v>
      </c>
      <c r="E52" s="2" t="s">
        <v>25</v>
      </c>
    </row>
    <row r="53">
      <c r="A53" s="2" t="s">
        <v>10</v>
      </c>
      <c r="B53" s="5">
        <v>46128.0</v>
      </c>
      <c r="C53" s="2">
        <v>14.0</v>
      </c>
      <c r="D53" s="2" t="s">
        <v>7</v>
      </c>
      <c r="E53" s="2" t="s">
        <v>10</v>
      </c>
    </row>
    <row r="54">
      <c r="A54" s="2" t="s">
        <v>169</v>
      </c>
      <c r="B54" s="5">
        <v>46128.0</v>
      </c>
      <c r="C54" s="2">
        <v>100.0</v>
      </c>
      <c r="D54" s="2" t="s">
        <v>22</v>
      </c>
    </row>
    <row r="55">
      <c r="A55" s="2" t="s">
        <v>134</v>
      </c>
      <c r="B55" s="5">
        <v>46128.0</v>
      </c>
      <c r="C55" s="2">
        <v>100.0</v>
      </c>
      <c r="D55" s="2" t="s">
        <v>134</v>
      </c>
      <c r="E55" s="2" t="s">
        <v>120</v>
      </c>
    </row>
    <row r="56">
      <c r="A56" s="2" t="s">
        <v>134</v>
      </c>
      <c r="B56" s="5">
        <v>46128.0</v>
      </c>
      <c r="C56" s="2">
        <v>625.0</v>
      </c>
      <c r="D56" s="2" t="s">
        <v>134</v>
      </c>
      <c r="E56" s="2" t="s">
        <v>18</v>
      </c>
    </row>
    <row r="57">
      <c r="A57" s="2" t="s">
        <v>10</v>
      </c>
      <c r="B57" s="5">
        <v>46129.0</v>
      </c>
      <c r="C57" s="2">
        <v>24.0</v>
      </c>
      <c r="D57" s="2" t="s">
        <v>7</v>
      </c>
      <c r="E57" s="2" t="s">
        <v>10</v>
      </c>
    </row>
    <row r="58">
      <c r="A58" s="2" t="s">
        <v>39</v>
      </c>
      <c r="B58" s="5">
        <v>46129.0</v>
      </c>
      <c r="C58" s="2">
        <v>70.0</v>
      </c>
      <c r="D58" s="2" t="s">
        <v>7</v>
      </c>
      <c r="E58" s="2" t="s">
        <v>39</v>
      </c>
    </row>
    <row r="59">
      <c r="A59" s="2" t="s">
        <v>27</v>
      </c>
      <c r="B59" s="5">
        <v>46129.0</v>
      </c>
      <c r="C59" s="2">
        <v>267.0</v>
      </c>
      <c r="D59" s="2" t="s">
        <v>22</v>
      </c>
      <c r="E59" s="2" t="s">
        <v>27</v>
      </c>
    </row>
    <row r="60">
      <c r="A60" s="2" t="s">
        <v>13</v>
      </c>
      <c r="B60" s="5">
        <v>46129.0</v>
      </c>
      <c r="C60" s="2">
        <v>258.0</v>
      </c>
      <c r="D60" s="2" t="s">
        <v>13</v>
      </c>
    </row>
    <row r="61">
      <c r="A61" s="2" t="s">
        <v>156</v>
      </c>
      <c r="B61" s="5">
        <v>46129.0</v>
      </c>
      <c r="C61" s="2">
        <v>160.0</v>
      </c>
    </row>
    <row r="62">
      <c r="A62" s="2" t="s">
        <v>23</v>
      </c>
      <c r="B62" s="5">
        <v>46130.0</v>
      </c>
      <c r="C62" s="2">
        <v>50.0</v>
      </c>
      <c r="D62" s="2" t="s">
        <v>22</v>
      </c>
    </row>
    <row r="63">
      <c r="A63" s="2" t="s">
        <v>47</v>
      </c>
      <c r="B63" s="5">
        <v>46130.0</v>
      </c>
      <c r="C63" s="2">
        <v>40.0</v>
      </c>
      <c r="D63" s="2" t="s">
        <v>22</v>
      </c>
    </row>
    <row r="64">
      <c r="A64" s="2" t="s">
        <v>17</v>
      </c>
      <c r="B64" s="5">
        <v>46130.0</v>
      </c>
      <c r="C64" s="2">
        <v>363.0</v>
      </c>
      <c r="D64" s="2" t="s">
        <v>17</v>
      </c>
      <c r="E64" s="2" t="s">
        <v>18</v>
      </c>
    </row>
    <row r="65">
      <c r="A65" s="2" t="s">
        <v>75</v>
      </c>
      <c r="B65" s="5">
        <v>46130.0</v>
      </c>
      <c r="C65" s="2">
        <v>200.0</v>
      </c>
      <c r="D65" s="2" t="s">
        <v>147</v>
      </c>
      <c r="E65" s="2" t="s">
        <v>131</v>
      </c>
    </row>
    <row r="66">
      <c r="A66" s="2" t="s">
        <v>10</v>
      </c>
      <c r="B66" s="5">
        <v>46130.0</v>
      </c>
      <c r="C66" s="2">
        <v>15.0</v>
      </c>
      <c r="D66" s="2" t="s">
        <v>7</v>
      </c>
      <c r="E66" s="2" t="s">
        <v>10</v>
      </c>
    </row>
    <row r="67">
      <c r="A67" s="2" t="s">
        <v>134</v>
      </c>
      <c r="B67" s="5">
        <v>46130.0</v>
      </c>
      <c r="C67" s="2">
        <v>50.0</v>
      </c>
      <c r="D67" s="2" t="s">
        <v>134</v>
      </c>
      <c r="E67" s="2" t="s">
        <v>120</v>
      </c>
    </row>
    <row r="68">
      <c r="A68" s="2" t="s">
        <v>190</v>
      </c>
      <c r="B68" s="5">
        <v>46130.0</v>
      </c>
      <c r="C68" s="2">
        <v>22.0</v>
      </c>
      <c r="D68" s="2" t="s">
        <v>147</v>
      </c>
      <c r="E68" s="2" t="s">
        <v>28</v>
      </c>
    </row>
    <row r="69">
      <c r="A69" s="2" t="s">
        <v>31</v>
      </c>
      <c r="B69" s="5">
        <v>46130.0</v>
      </c>
      <c r="C69" s="2">
        <v>860.0</v>
      </c>
      <c r="D69" s="2" t="s">
        <v>191</v>
      </c>
      <c r="E69" s="2" t="s">
        <v>120</v>
      </c>
    </row>
    <row r="70">
      <c r="A70" s="2" t="s">
        <v>8</v>
      </c>
      <c r="B70" s="5">
        <v>46131.0</v>
      </c>
      <c r="C70" s="2">
        <v>20.0</v>
      </c>
      <c r="D70" s="2" t="s">
        <v>147</v>
      </c>
      <c r="E70" s="2" t="s">
        <v>8</v>
      </c>
    </row>
    <row r="71">
      <c r="A71" s="2" t="s">
        <v>192</v>
      </c>
      <c r="B71" s="5">
        <v>46132.0</v>
      </c>
      <c r="C71" s="2">
        <v>320.0</v>
      </c>
      <c r="D71" s="2" t="s">
        <v>147</v>
      </c>
      <c r="E71" s="2" t="s">
        <v>131</v>
      </c>
    </row>
    <row r="72">
      <c r="A72" s="2" t="s">
        <v>193</v>
      </c>
      <c r="B72" s="5">
        <v>46132.0</v>
      </c>
      <c r="C72" s="2">
        <v>380.0</v>
      </c>
      <c r="D72" s="2" t="s">
        <v>147</v>
      </c>
      <c r="E72" s="2" t="s">
        <v>131</v>
      </c>
    </row>
    <row r="73">
      <c r="A73" s="2" t="s">
        <v>64</v>
      </c>
      <c r="B73" s="5">
        <v>46133.0</v>
      </c>
      <c r="C73" s="2">
        <v>85.0</v>
      </c>
      <c r="D73" s="2" t="s">
        <v>57</v>
      </c>
      <c r="E73" s="2" t="s">
        <v>59</v>
      </c>
    </row>
    <row r="74">
      <c r="A74" s="2" t="s">
        <v>25</v>
      </c>
      <c r="B74" s="5">
        <v>46133.0</v>
      </c>
      <c r="C74" s="2">
        <v>112.0</v>
      </c>
      <c r="D74" s="2" t="s">
        <v>22</v>
      </c>
      <c r="E74" s="2" t="s">
        <v>25</v>
      </c>
    </row>
    <row r="75">
      <c r="A75" s="2" t="s">
        <v>17</v>
      </c>
      <c r="B75" s="5">
        <v>46133.0</v>
      </c>
      <c r="C75" s="2">
        <v>490.0</v>
      </c>
      <c r="D75" s="2" t="s">
        <v>17</v>
      </c>
      <c r="E75" s="2" t="s">
        <v>121</v>
      </c>
    </row>
    <row r="76">
      <c r="A76" s="2" t="s">
        <v>25</v>
      </c>
      <c r="B76" s="5">
        <v>46133.0</v>
      </c>
      <c r="C76" s="2">
        <v>2426.0</v>
      </c>
      <c r="D76" s="2" t="s">
        <v>22</v>
      </c>
      <c r="E76" s="2" t="s">
        <v>25</v>
      </c>
    </row>
    <row r="77">
      <c r="A77" s="2" t="s">
        <v>194</v>
      </c>
      <c r="B77" s="5">
        <v>46133.0</v>
      </c>
      <c r="C77" s="2">
        <v>132.0</v>
      </c>
      <c r="E77" s="2" t="s">
        <v>120</v>
      </c>
    </row>
    <row r="78">
      <c r="A78" s="2" t="s">
        <v>23</v>
      </c>
      <c r="B78" s="5">
        <v>46133.0</v>
      </c>
      <c r="C78" s="2">
        <v>60.0</v>
      </c>
      <c r="D78" s="2" t="s">
        <v>22</v>
      </c>
      <c r="E78" s="2" t="s">
        <v>23</v>
      </c>
    </row>
    <row r="79">
      <c r="A79" s="2" t="s">
        <v>39</v>
      </c>
      <c r="B79" s="5">
        <v>46135.0</v>
      </c>
      <c r="C79" s="2">
        <v>431.0</v>
      </c>
      <c r="D79" s="2" t="s">
        <v>7</v>
      </c>
      <c r="E79" s="2" t="s">
        <v>39</v>
      </c>
    </row>
    <row r="80">
      <c r="A80" s="2" t="s">
        <v>23</v>
      </c>
      <c r="B80" s="5">
        <v>46135.0</v>
      </c>
      <c r="C80" s="2">
        <v>387.0</v>
      </c>
      <c r="D80" s="2" t="s">
        <v>22</v>
      </c>
      <c r="E80" s="2" t="s">
        <v>23</v>
      </c>
    </row>
    <row r="81">
      <c r="A81" s="2" t="s">
        <v>10</v>
      </c>
      <c r="B81" s="5">
        <v>46136.0</v>
      </c>
      <c r="C81" s="2">
        <v>173.0</v>
      </c>
      <c r="D81" s="2" t="s">
        <v>7</v>
      </c>
      <c r="E81" s="2" t="s">
        <v>10</v>
      </c>
    </row>
    <row r="82">
      <c r="A82" s="2" t="s">
        <v>55</v>
      </c>
      <c r="B82" s="5">
        <v>46136.0</v>
      </c>
      <c r="C82" s="2">
        <v>15.0</v>
      </c>
      <c r="D82" s="2" t="s">
        <v>57</v>
      </c>
      <c r="E82" s="2" t="s">
        <v>59</v>
      </c>
    </row>
    <row r="83">
      <c r="A83" s="2" t="s">
        <v>66</v>
      </c>
      <c r="B83" s="5">
        <v>46136.0</v>
      </c>
      <c r="C83" s="2">
        <v>60.0</v>
      </c>
      <c r="D83" s="2" t="s">
        <v>13</v>
      </c>
    </row>
    <row r="84">
      <c r="A84" s="2" t="s">
        <v>66</v>
      </c>
      <c r="B84" s="5">
        <v>46136.0</v>
      </c>
      <c r="C84" s="2">
        <v>150.0</v>
      </c>
      <c r="D84" s="2" t="s">
        <v>13</v>
      </c>
    </row>
    <row r="85">
      <c r="A85" s="2" t="s">
        <v>13</v>
      </c>
      <c r="B85" s="5">
        <v>46136.0</v>
      </c>
      <c r="C85" s="2">
        <v>115.0</v>
      </c>
      <c r="D85" s="2" t="s">
        <v>13</v>
      </c>
    </row>
    <row r="86">
      <c r="A86" s="2" t="s">
        <v>64</v>
      </c>
      <c r="B86" s="5">
        <v>46136.0</v>
      </c>
      <c r="C86" s="2">
        <v>45.0</v>
      </c>
      <c r="D86" s="2" t="s">
        <v>57</v>
      </c>
      <c r="E86" s="2" t="s">
        <v>59</v>
      </c>
    </row>
    <row r="87">
      <c r="A87" s="2" t="s">
        <v>25</v>
      </c>
      <c r="B87" s="5">
        <v>46136.0</v>
      </c>
      <c r="C87" s="2">
        <v>298.0</v>
      </c>
      <c r="D87" s="2" t="s">
        <v>22</v>
      </c>
      <c r="E87" s="2" t="s">
        <v>25</v>
      </c>
    </row>
    <row r="88">
      <c r="A88" s="2" t="s">
        <v>76</v>
      </c>
      <c r="B88" s="5">
        <v>46136.0</v>
      </c>
      <c r="C88" s="2">
        <v>200.0</v>
      </c>
      <c r="D88" s="2" t="s">
        <v>147</v>
      </c>
      <c r="E88" s="2" t="s">
        <v>28</v>
      </c>
    </row>
    <row r="89">
      <c r="A89" s="2" t="s">
        <v>71</v>
      </c>
      <c r="B89" s="5">
        <v>46136.0</v>
      </c>
      <c r="C89" s="2">
        <v>500.0</v>
      </c>
      <c r="D89" s="2" t="s">
        <v>57</v>
      </c>
      <c r="E89" s="2" t="s">
        <v>73</v>
      </c>
    </row>
    <row r="90">
      <c r="A90" s="2" t="s">
        <v>200</v>
      </c>
      <c r="B90" s="5">
        <v>46138.0</v>
      </c>
      <c r="C90" s="2">
        <v>30.0</v>
      </c>
      <c r="D90" s="2" t="s">
        <v>134</v>
      </c>
      <c r="E90" s="2" t="s">
        <v>120</v>
      </c>
    </row>
    <row r="91">
      <c r="A91" s="2" t="s">
        <v>25</v>
      </c>
      <c r="B91" s="5">
        <v>46138.0</v>
      </c>
      <c r="C91" s="2">
        <v>247.0</v>
      </c>
      <c r="D91" s="2" t="s">
        <v>22</v>
      </c>
      <c r="E91" s="2" t="s">
        <v>25</v>
      </c>
    </row>
    <row r="92">
      <c r="A92" s="2" t="s">
        <v>10</v>
      </c>
      <c r="B92" s="5">
        <v>46138.0</v>
      </c>
      <c r="C92" s="2">
        <v>13.0</v>
      </c>
      <c r="D92" s="2" t="s">
        <v>7</v>
      </c>
      <c r="E92" s="2" t="s">
        <v>10</v>
      </c>
    </row>
    <row r="93">
      <c r="A93" s="2" t="s">
        <v>202</v>
      </c>
      <c r="B93" s="5">
        <v>46138.0</v>
      </c>
      <c r="C93" s="2">
        <v>800.0</v>
      </c>
      <c r="D93" s="2" t="s">
        <v>175</v>
      </c>
      <c r="E93" s="2" t="s">
        <v>35</v>
      </c>
    </row>
    <row r="94">
      <c r="A94" s="2" t="s">
        <v>91</v>
      </c>
      <c r="B94" s="5">
        <v>46139.0</v>
      </c>
      <c r="C94" s="2">
        <v>50.0</v>
      </c>
      <c r="D94" s="2" t="s">
        <v>57</v>
      </c>
      <c r="E94" s="2" t="s">
        <v>59</v>
      </c>
    </row>
    <row r="95">
      <c r="A95" s="2" t="s">
        <v>27</v>
      </c>
      <c r="B95" s="5">
        <v>46139.0</v>
      </c>
      <c r="C95" s="2">
        <v>210.0</v>
      </c>
      <c r="D95" s="2" t="s">
        <v>22</v>
      </c>
      <c r="E95" s="2" t="s">
        <v>27</v>
      </c>
    </row>
    <row r="96">
      <c r="A96" s="2" t="s">
        <v>92</v>
      </c>
      <c r="B96" s="5">
        <v>46140.0</v>
      </c>
      <c r="C96" s="2">
        <v>38.0</v>
      </c>
      <c r="D96" s="2" t="s">
        <v>17</v>
      </c>
      <c r="E96" s="2" t="s">
        <v>35</v>
      </c>
    </row>
    <row r="97">
      <c r="A97" s="2" t="s">
        <v>116</v>
      </c>
      <c r="B97" s="5">
        <v>46140.0</v>
      </c>
      <c r="C97" s="2">
        <v>42.0</v>
      </c>
      <c r="D97" s="2" t="s">
        <v>22</v>
      </c>
    </row>
    <row r="98">
      <c r="A98" s="2" t="s">
        <v>23</v>
      </c>
      <c r="B98" s="5">
        <v>46140.0</v>
      </c>
      <c r="C98" s="2">
        <v>371.0</v>
      </c>
      <c r="D98" s="2" t="s">
        <v>22</v>
      </c>
      <c r="E98" s="2" t="s">
        <v>23</v>
      </c>
    </row>
    <row r="99">
      <c r="A99" s="2" t="s">
        <v>91</v>
      </c>
      <c r="B99" s="5">
        <v>46140.0</v>
      </c>
      <c r="C99" s="2">
        <v>60.0</v>
      </c>
      <c r="D99" s="2" t="s">
        <v>57</v>
      </c>
      <c r="E99" s="2" t="s">
        <v>59</v>
      </c>
    </row>
    <row r="100">
      <c r="A100" s="2" t="s">
        <v>47</v>
      </c>
      <c r="B100" s="5">
        <v>46140.0</v>
      </c>
      <c r="C100" s="2">
        <v>40.0</v>
      </c>
      <c r="D100" s="2" t="s">
        <v>22</v>
      </c>
    </row>
    <row r="101">
      <c r="A101" s="2" t="s">
        <v>188</v>
      </c>
      <c r="B101" s="5">
        <v>46140.0</v>
      </c>
      <c r="C101" s="2">
        <v>60.0</v>
      </c>
      <c r="D101" s="2" t="s">
        <v>17</v>
      </c>
      <c r="E101" s="2" t="s">
        <v>35</v>
      </c>
    </row>
    <row r="102">
      <c r="A102" s="2" t="s">
        <v>10</v>
      </c>
      <c r="B102" s="5">
        <v>46142.0</v>
      </c>
      <c r="C102" s="2">
        <v>50.0</v>
      </c>
      <c r="D102" s="2" t="s">
        <v>7</v>
      </c>
      <c r="E102" s="2" t="s">
        <v>10</v>
      </c>
    </row>
    <row r="103">
      <c r="A103" s="2" t="s">
        <v>39</v>
      </c>
      <c r="B103" s="5">
        <v>46142.0</v>
      </c>
      <c r="C103" s="2">
        <v>50.0</v>
      </c>
      <c r="D103" s="2" t="s">
        <v>7</v>
      </c>
      <c r="E103" s="2" t="s">
        <v>39</v>
      </c>
    </row>
    <row r="104">
      <c r="A104" s="2" t="s">
        <v>109</v>
      </c>
      <c r="B104" s="5">
        <v>46142.0</v>
      </c>
      <c r="C104" s="2">
        <v>500.0</v>
      </c>
      <c r="D104" s="2" t="s">
        <v>48</v>
      </c>
      <c r="E104" s="2" t="s">
        <v>18</v>
      </c>
    </row>
    <row r="105">
      <c r="A105" s="2" t="s">
        <v>163</v>
      </c>
      <c r="B105" s="5">
        <v>46142.0</v>
      </c>
      <c r="C105" s="2">
        <v>3040.0</v>
      </c>
      <c r="D105" s="2" t="s">
        <v>48</v>
      </c>
      <c r="E105" s="2" t="s">
        <v>18</v>
      </c>
    </row>
    <row r="106">
      <c r="A106" s="2" t="s">
        <v>204</v>
      </c>
      <c r="B106" s="5">
        <v>46142.0</v>
      </c>
      <c r="C106" s="2">
        <v>195.0</v>
      </c>
      <c r="D106" s="2" t="s">
        <v>57</v>
      </c>
      <c r="E106" s="2" t="s">
        <v>59</v>
      </c>
    </row>
    <row r="107">
      <c r="A107" s="2" t="s">
        <v>39</v>
      </c>
      <c r="B107" s="5">
        <v>46142.0</v>
      </c>
      <c r="C107" s="2">
        <v>80.0</v>
      </c>
      <c r="D107" s="2" t="s">
        <v>7</v>
      </c>
      <c r="E107" s="2" t="s">
        <v>39</v>
      </c>
    </row>
    <row r="108">
      <c r="A108" s="2" t="s">
        <v>10</v>
      </c>
      <c r="B108" s="5">
        <v>46142.0</v>
      </c>
      <c r="C108" s="2">
        <v>30.0</v>
      </c>
      <c r="D108" s="2" t="s">
        <v>7</v>
      </c>
      <c r="E108" s="2" t="s">
        <v>10</v>
      </c>
    </row>
    <row r="109">
      <c r="A109" s="2" t="s">
        <v>10</v>
      </c>
      <c r="B109" s="5">
        <v>46142.0</v>
      </c>
      <c r="C109" s="2">
        <v>42.0</v>
      </c>
      <c r="D109" s="2" t="s">
        <v>7</v>
      </c>
      <c r="E109" s="2" t="s">
        <v>10</v>
      </c>
    </row>
    <row r="110">
      <c r="A110" s="2" t="s">
        <v>91</v>
      </c>
      <c r="B110" s="5">
        <v>46142.0</v>
      </c>
      <c r="C110" s="2">
        <v>120.0</v>
      </c>
      <c r="D110" s="2" t="s">
        <v>57</v>
      </c>
      <c r="E110" s="2" t="s">
        <v>59</v>
      </c>
    </row>
    <row r="111">
      <c r="A111" s="2" t="s">
        <v>23</v>
      </c>
      <c r="B111" s="5">
        <v>46142.0</v>
      </c>
      <c r="C111" s="2">
        <v>50.0</v>
      </c>
      <c r="D111" s="2" t="s">
        <v>22</v>
      </c>
      <c r="E111" s="2" t="s">
        <v>23</v>
      </c>
    </row>
    <row r="112">
      <c r="A112" s="2" t="s">
        <v>185</v>
      </c>
      <c r="C112" s="2">
        <v>1000.0</v>
      </c>
    </row>
    <row r="113">
      <c r="A113" s="2"/>
      <c r="B113" s="2" t="s">
        <v>187</v>
      </c>
      <c r="C113" s="13">
        <f>SUM(C2:C112)</f>
        <v>39039</v>
      </c>
    </row>
    <row r="114">
      <c r="B114" s="2" t="s">
        <v>146</v>
      </c>
      <c r="C114" s="2">
        <v>-30000.0</v>
      </c>
    </row>
    <row r="115">
      <c r="B115" s="2" t="s">
        <v>206</v>
      </c>
      <c r="C115" s="13">
        <f>SUM(C113:C114)</f>
        <v>9039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3" t="s">
        <v>0</v>
      </c>
      <c r="B1" s="8" t="s">
        <v>1</v>
      </c>
      <c r="C1" s="3" t="s">
        <v>4</v>
      </c>
      <c r="D1" s="3" t="s">
        <v>2</v>
      </c>
      <c r="E1" s="3" t="s">
        <v>3</v>
      </c>
    </row>
    <row r="2" hidden="1">
      <c r="A2" s="2" t="s">
        <v>5</v>
      </c>
      <c r="B2" s="5">
        <v>46143.0</v>
      </c>
      <c r="C2" s="2">
        <v>20.0</v>
      </c>
    </row>
    <row r="3" hidden="1">
      <c r="A3" s="2" t="s">
        <v>22</v>
      </c>
      <c r="B3" s="5">
        <v>46143.0</v>
      </c>
      <c r="C3" s="2">
        <v>119.0</v>
      </c>
      <c r="D3" s="2" t="s">
        <v>22</v>
      </c>
      <c r="E3" s="2" t="s">
        <v>25</v>
      </c>
    </row>
    <row r="4" hidden="1">
      <c r="A4" s="2" t="s">
        <v>188</v>
      </c>
      <c r="B4" s="5">
        <v>46143.0</v>
      </c>
      <c r="C4" s="2">
        <v>90.0</v>
      </c>
      <c r="D4" s="2" t="s">
        <v>17</v>
      </c>
      <c r="E4" s="2" t="s">
        <v>35</v>
      </c>
    </row>
    <row r="5" hidden="1">
      <c r="A5" s="2" t="s">
        <v>25</v>
      </c>
      <c r="B5" s="5">
        <v>46144.0</v>
      </c>
      <c r="C5" s="2">
        <v>429.0</v>
      </c>
      <c r="D5" s="2" t="s">
        <v>22</v>
      </c>
      <c r="E5" s="2" t="s">
        <v>25</v>
      </c>
    </row>
    <row r="6" hidden="1">
      <c r="A6" s="2" t="s">
        <v>8</v>
      </c>
      <c r="B6" s="5">
        <v>46145.0</v>
      </c>
      <c r="C6" s="2">
        <v>50.0</v>
      </c>
      <c r="D6" s="2" t="s">
        <v>9</v>
      </c>
      <c r="E6" s="2" t="s">
        <v>8</v>
      </c>
    </row>
    <row r="7" hidden="1">
      <c r="A7" s="2" t="s">
        <v>23</v>
      </c>
      <c r="B7" s="5">
        <v>46145.0</v>
      </c>
      <c r="C7" s="2">
        <v>416.0</v>
      </c>
      <c r="D7" s="2" t="s">
        <v>22</v>
      </c>
      <c r="E7" s="2" t="s">
        <v>23</v>
      </c>
    </row>
    <row r="8" hidden="1">
      <c r="A8" s="2" t="s">
        <v>25</v>
      </c>
      <c r="B8" s="5">
        <v>46147.0</v>
      </c>
      <c r="C8" s="2">
        <v>513.0</v>
      </c>
      <c r="D8" s="2" t="s">
        <v>22</v>
      </c>
      <c r="E8" s="2" t="s">
        <v>25</v>
      </c>
    </row>
    <row r="9" hidden="1">
      <c r="A9" s="2" t="s">
        <v>11</v>
      </c>
      <c r="B9" s="5">
        <v>46147.0</v>
      </c>
      <c r="C9" s="2">
        <v>2079.0</v>
      </c>
      <c r="D9" s="2" t="s">
        <v>9</v>
      </c>
      <c r="E9" s="2" t="s">
        <v>11</v>
      </c>
    </row>
    <row r="10" hidden="1">
      <c r="A10" s="2" t="s">
        <v>10</v>
      </c>
      <c r="B10" s="5">
        <v>46148.0</v>
      </c>
      <c r="C10" s="2">
        <v>81.0</v>
      </c>
      <c r="D10" s="2" t="s">
        <v>7</v>
      </c>
      <c r="E10" s="2" t="s">
        <v>10</v>
      </c>
    </row>
    <row r="11" hidden="1">
      <c r="A11" s="2" t="s">
        <v>13</v>
      </c>
      <c r="B11" s="5">
        <v>46148.0</v>
      </c>
      <c r="C11" s="2">
        <v>100.0</v>
      </c>
      <c r="D11" s="2" t="s">
        <v>54</v>
      </c>
    </row>
    <row r="12">
      <c r="A12" s="2" t="s">
        <v>71</v>
      </c>
      <c r="B12" s="5">
        <v>46148.0</v>
      </c>
      <c r="C12" s="2">
        <v>732.0</v>
      </c>
      <c r="D12" s="2" t="s">
        <v>57</v>
      </c>
      <c r="E12" s="2" t="s">
        <v>73</v>
      </c>
    </row>
    <row r="13" hidden="1">
      <c r="A13" s="2" t="s">
        <v>25</v>
      </c>
      <c r="B13" s="5">
        <v>46149.0</v>
      </c>
      <c r="C13" s="2">
        <v>733.0</v>
      </c>
      <c r="D13" s="2" t="s">
        <v>22</v>
      </c>
      <c r="E13" s="2" t="s">
        <v>25</v>
      </c>
    </row>
    <row r="14" hidden="1">
      <c r="A14" s="2" t="s">
        <v>25</v>
      </c>
      <c r="B14" s="5">
        <v>46150.0</v>
      </c>
      <c r="C14" s="2">
        <v>923.0</v>
      </c>
      <c r="D14" s="2" t="s">
        <v>22</v>
      </c>
      <c r="E14" s="2" t="s">
        <v>25</v>
      </c>
    </row>
    <row r="15" hidden="1">
      <c r="A15" s="2" t="s">
        <v>23</v>
      </c>
      <c r="B15" s="5">
        <v>46151.0</v>
      </c>
      <c r="C15" s="2">
        <v>940.0</v>
      </c>
      <c r="D15" s="2" t="s">
        <v>22</v>
      </c>
      <c r="E15" s="2" t="s">
        <v>23</v>
      </c>
    </row>
    <row r="16" hidden="1">
      <c r="A16" s="2" t="s">
        <v>39</v>
      </c>
      <c r="B16" s="5">
        <v>46151.0</v>
      </c>
      <c r="C16" s="2">
        <v>120.0</v>
      </c>
      <c r="D16" s="2" t="s">
        <v>7</v>
      </c>
      <c r="E16" s="2" t="s">
        <v>39</v>
      </c>
    </row>
    <row r="17" hidden="1">
      <c r="A17" s="2" t="s">
        <v>195</v>
      </c>
      <c r="B17" s="5">
        <v>46151.0</v>
      </c>
      <c r="C17" s="2">
        <v>60.0</v>
      </c>
      <c r="D17" s="2" t="s">
        <v>22</v>
      </c>
      <c r="E17" s="2" t="s">
        <v>196</v>
      </c>
    </row>
    <row r="18" hidden="1">
      <c r="A18" s="2" t="s">
        <v>197</v>
      </c>
      <c r="B18" s="5">
        <v>46152.0</v>
      </c>
      <c r="C18" s="2">
        <v>37.0</v>
      </c>
      <c r="D18" s="2" t="s">
        <v>9</v>
      </c>
      <c r="E18" s="2" t="s">
        <v>28</v>
      </c>
    </row>
    <row r="19" hidden="1">
      <c r="A19" s="2" t="s">
        <v>25</v>
      </c>
      <c r="B19" s="5">
        <v>46152.0</v>
      </c>
      <c r="C19" s="2">
        <v>215.0</v>
      </c>
      <c r="D19" s="2" t="s">
        <v>22</v>
      </c>
      <c r="E19" s="2" t="s">
        <v>25</v>
      </c>
    </row>
    <row r="20" hidden="1">
      <c r="A20" s="2" t="s">
        <v>198</v>
      </c>
      <c r="B20" s="5">
        <v>46152.0</v>
      </c>
      <c r="C20" s="2">
        <v>70.0</v>
      </c>
      <c r="D20" s="2" t="s">
        <v>22</v>
      </c>
      <c r="E20" s="2" t="s">
        <v>27</v>
      </c>
    </row>
    <row r="21" hidden="1">
      <c r="A21" s="2" t="s">
        <v>27</v>
      </c>
      <c r="B21" s="5">
        <v>46152.0</v>
      </c>
      <c r="C21" s="2">
        <v>71.0</v>
      </c>
      <c r="D21" s="2" t="s">
        <v>22</v>
      </c>
      <c r="E21" s="2" t="s">
        <v>27</v>
      </c>
    </row>
    <row r="22" hidden="1">
      <c r="A22" s="2" t="s">
        <v>17</v>
      </c>
      <c r="B22" s="5">
        <v>46152.0</v>
      </c>
      <c r="C22" s="2">
        <v>69.0</v>
      </c>
      <c r="D22" s="2" t="s">
        <v>17</v>
      </c>
      <c r="E22" s="2" t="s">
        <v>199</v>
      </c>
    </row>
    <row r="23" hidden="1">
      <c r="A23" s="2" t="s">
        <v>15</v>
      </c>
      <c r="B23" s="5">
        <v>46153.0</v>
      </c>
      <c r="C23" s="2">
        <v>960.0</v>
      </c>
      <c r="D23" s="2" t="s">
        <v>9</v>
      </c>
      <c r="E23" s="2" t="s">
        <v>15</v>
      </c>
    </row>
    <row r="24" hidden="1">
      <c r="A24" s="2" t="s">
        <v>17</v>
      </c>
      <c r="B24" s="5">
        <v>46153.0</v>
      </c>
      <c r="C24" s="2">
        <v>286.0</v>
      </c>
      <c r="D24" s="2" t="s">
        <v>17</v>
      </c>
      <c r="E24" s="2" t="s">
        <v>35</v>
      </c>
    </row>
    <row r="25" hidden="1">
      <c r="A25" s="2" t="s">
        <v>201</v>
      </c>
      <c r="B25" s="5">
        <v>46153.0</v>
      </c>
      <c r="C25" s="2">
        <v>1314.0</v>
      </c>
      <c r="D25" s="2" t="s">
        <v>9</v>
      </c>
      <c r="E25" s="2" t="s">
        <v>21</v>
      </c>
    </row>
    <row r="26" hidden="1">
      <c r="A26" s="2" t="s">
        <v>10</v>
      </c>
      <c r="B26" s="5">
        <v>46154.0</v>
      </c>
      <c r="C26" s="2">
        <v>13.0</v>
      </c>
      <c r="D26" s="2" t="s">
        <v>7</v>
      </c>
      <c r="E26" s="2" t="s">
        <v>10</v>
      </c>
    </row>
    <row r="27">
      <c r="A27" s="2" t="s">
        <v>62</v>
      </c>
      <c r="B27" s="5">
        <v>46154.0</v>
      </c>
      <c r="C27" s="2">
        <v>150.0</v>
      </c>
      <c r="D27" s="2" t="s">
        <v>57</v>
      </c>
      <c r="E27" s="2" t="s">
        <v>59</v>
      </c>
    </row>
    <row r="28" hidden="1">
      <c r="A28" s="2" t="s">
        <v>64</v>
      </c>
      <c r="B28" s="5">
        <v>46154.0</v>
      </c>
      <c r="C28" s="2">
        <v>120.0</v>
      </c>
      <c r="D28" s="2" t="s">
        <v>22</v>
      </c>
      <c r="E28" s="2" t="s">
        <v>64</v>
      </c>
    </row>
    <row r="29" hidden="1">
      <c r="A29" s="2" t="s">
        <v>27</v>
      </c>
      <c r="B29" s="5">
        <v>46154.0</v>
      </c>
      <c r="C29" s="2">
        <v>60.0</v>
      </c>
      <c r="D29" s="2" t="s">
        <v>22</v>
      </c>
      <c r="E29" s="2" t="s">
        <v>27</v>
      </c>
    </row>
    <row r="30" hidden="1">
      <c r="A30" s="2" t="s">
        <v>25</v>
      </c>
      <c r="B30" s="5">
        <v>46154.0</v>
      </c>
      <c r="C30" s="2">
        <v>225.0</v>
      </c>
      <c r="D30" s="2" t="s">
        <v>22</v>
      </c>
      <c r="E30" s="2" t="s">
        <v>25</v>
      </c>
    </row>
    <row r="31" hidden="1">
      <c r="A31" s="2" t="s">
        <v>25</v>
      </c>
      <c r="B31" s="5">
        <v>46156.0</v>
      </c>
      <c r="C31" s="2">
        <v>290.0</v>
      </c>
      <c r="D31" s="2" t="s">
        <v>22</v>
      </c>
      <c r="E31" s="2" t="s">
        <v>25</v>
      </c>
    </row>
    <row r="32" hidden="1">
      <c r="A32" s="2" t="s">
        <v>39</v>
      </c>
      <c r="B32" s="5">
        <v>46156.0</v>
      </c>
      <c r="C32" s="2">
        <v>50.0</v>
      </c>
      <c r="D32" s="2" t="s">
        <v>7</v>
      </c>
      <c r="E32" s="2" t="s">
        <v>39</v>
      </c>
    </row>
    <row r="33" hidden="1">
      <c r="A33" s="2" t="s">
        <v>203</v>
      </c>
      <c r="B33" s="5">
        <v>46156.0</v>
      </c>
      <c r="C33" s="2">
        <v>40.0</v>
      </c>
      <c r="D33" s="2" t="s">
        <v>17</v>
      </c>
      <c r="E33" s="2" t="s">
        <v>18</v>
      </c>
    </row>
    <row r="34" hidden="1">
      <c r="A34" s="2" t="s">
        <v>10</v>
      </c>
      <c r="B34" s="5">
        <v>46156.0</v>
      </c>
      <c r="C34" s="2">
        <v>5.0</v>
      </c>
      <c r="D34" s="2" t="s">
        <v>7</v>
      </c>
      <c r="E34" s="2" t="s">
        <v>10</v>
      </c>
    </row>
    <row r="35" hidden="1">
      <c r="A35" s="2" t="s">
        <v>55</v>
      </c>
      <c r="B35" s="5">
        <v>46156.0</v>
      </c>
      <c r="C35" s="2">
        <v>138.0</v>
      </c>
      <c r="D35" s="2" t="s">
        <v>22</v>
      </c>
      <c r="E35" s="2" t="s">
        <v>25</v>
      </c>
    </row>
    <row r="36" hidden="1">
      <c r="A36" s="2" t="s">
        <v>39</v>
      </c>
      <c r="B36" s="5">
        <v>46157.0</v>
      </c>
      <c r="C36" s="2">
        <v>140.0</v>
      </c>
      <c r="D36" s="2" t="s">
        <v>7</v>
      </c>
      <c r="E36" s="2" t="s">
        <v>39</v>
      </c>
    </row>
    <row r="37" hidden="1">
      <c r="A37" s="2" t="s">
        <v>10</v>
      </c>
      <c r="B37" s="5">
        <v>46157.0</v>
      </c>
      <c r="C37" s="2">
        <v>7.0</v>
      </c>
      <c r="D37" s="2" t="s">
        <v>7</v>
      </c>
      <c r="E37" s="2" t="s">
        <v>10</v>
      </c>
    </row>
    <row r="38" hidden="1">
      <c r="A38" s="2" t="s">
        <v>39</v>
      </c>
      <c r="B38" s="5">
        <v>46157.0</v>
      </c>
      <c r="C38" s="2">
        <v>50.0</v>
      </c>
      <c r="D38" s="2" t="s">
        <v>7</v>
      </c>
      <c r="E38" s="2" t="s">
        <v>39</v>
      </c>
    </row>
    <row r="39" hidden="1">
      <c r="A39" s="2" t="s">
        <v>25</v>
      </c>
      <c r="B39" s="5">
        <v>46157.0</v>
      </c>
      <c r="C39" s="2">
        <v>300.0</v>
      </c>
      <c r="D39" s="2" t="s">
        <v>22</v>
      </c>
      <c r="E39" s="2" t="s">
        <v>25</v>
      </c>
    </row>
    <row r="40" hidden="1">
      <c r="A40" s="2" t="s">
        <v>25</v>
      </c>
      <c r="B40" s="5">
        <v>46157.0</v>
      </c>
      <c r="C40" s="2">
        <v>142.0</v>
      </c>
      <c r="D40" s="2" t="s">
        <v>22</v>
      </c>
      <c r="E40" s="2" t="s">
        <v>196</v>
      </c>
    </row>
    <row r="41">
      <c r="A41" s="2" t="s">
        <v>62</v>
      </c>
      <c r="B41" s="5">
        <v>46157.0</v>
      </c>
      <c r="C41" s="2">
        <v>80.0</v>
      </c>
      <c r="D41" s="2" t="s">
        <v>57</v>
      </c>
      <c r="E41" s="2" t="s">
        <v>59</v>
      </c>
    </row>
    <row r="42" hidden="1">
      <c r="A42" s="2" t="s">
        <v>64</v>
      </c>
      <c r="B42" s="5">
        <v>46157.0</v>
      </c>
      <c r="C42" s="2">
        <v>116.0</v>
      </c>
      <c r="D42" s="2" t="s">
        <v>22</v>
      </c>
      <c r="E42" s="2" t="s">
        <v>64</v>
      </c>
    </row>
    <row r="43" hidden="1">
      <c r="A43" s="2" t="s">
        <v>84</v>
      </c>
      <c r="B43" s="5">
        <v>46157.0</v>
      </c>
      <c r="C43" s="2">
        <v>1030.0</v>
      </c>
      <c r="D43" s="2" t="s">
        <v>22</v>
      </c>
      <c r="E43" s="2" t="s">
        <v>84</v>
      </c>
    </row>
    <row r="44" hidden="1">
      <c r="A44" s="2" t="s">
        <v>205</v>
      </c>
      <c r="B44" s="5">
        <v>46157.0</v>
      </c>
      <c r="C44" s="2">
        <v>106.0</v>
      </c>
      <c r="D44" s="2" t="s">
        <v>22</v>
      </c>
      <c r="E44" s="2" t="s">
        <v>25</v>
      </c>
    </row>
    <row r="45" hidden="1">
      <c r="A45" s="2" t="s">
        <v>53</v>
      </c>
      <c r="B45" s="5">
        <v>46158.0</v>
      </c>
      <c r="C45" s="2">
        <v>240.0</v>
      </c>
      <c r="D45" s="2" t="s">
        <v>54</v>
      </c>
    </row>
    <row r="46" hidden="1">
      <c r="A46" s="2" t="s">
        <v>17</v>
      </c>
      <c r="B46" s="5">
        <v>46158.0</v>
      </c>
      <c r="C46" s="2">
        <v>25.0</v>
      </c>
      <c r="D46" s="2" t="s">
        <v>17</v>
      </c>
      <c r="E46" s="2" t="s">
        <v>28</v>
      </c>
    </row>
    <row r="47" hidden="1">
      <c r="A47" s="2" t="s">
        <v>53</v>
      </c>
      <c r="B47" s="5">
        <v>46158.0</v>
      </c>
      <c r="C47" s="2">
        <v>60.0</v>
      </c>
      <c r="D47" s="2" t="s">
        <v>54</v>
      </c>
    </row>
    <row r="48" hidden="1">
      <c r="A48" s="2" t="s">
        <v>24</v>
      </c>
      <c r="B48" s="5">
        <v>46158.0</v>
      </c>
      <c r="C48" s="2">
        <v>170.0</v>
      </c>
      <c r="D48" s="2" t="s">
        <v>9</v>
      </c>
      <c r="E48" s="2" t="s">
        <v>28</v>
      </c>
    </row>
    <row r="49" hidden="1">
      <c r="A49" s="2" t="s">
        <v>27</v>
      </c>
      <c r="B49" s="5">
        <v>46158.0</v>
      </c>
      <c r="C49" s="2">
        <v>150.0</v>
      </c>
      <c r="D49" s="2" t="s">
        <v>22</v>
      </c>
      <c r="E49" s="2" t="s">
        <v>27</v>
      </c>
    </row>
    <row r="50" hidden="1">
      <c r="A50" s="2" t="s">
        <v>17</v>
      </c>
      <c r="B50" s="5">
        <v>46158.0</v>
      </c>
      <c r="C50" s="2">
        <v>1916.0</v>
      </c>
      <c r="D50" s="2" t="s">
        <v>17</v>
      </c>
      <c r="E50" s="2" t="s">
        <v>35</v>
      </c>
    </row>
    <row r="51" hidden="1">
      <c r="A51" s="2" t="s">
        <v>8</v>
      </c>
      <c r="B51" s="5">
        <v>46159.0</v>
      </c>
      <c r="C51" s="2">
        <v>50.0</v>
      </c>
      <c r="D51" s="2" t="s">
        <v>9</v>
      </c>
      <c r="E51" s="2" t="s">
        <v>8</v>
      </c>
    </row>
    <row r="52" hidden="1">
      <c r="A52" s="2" t="s">
        <v>26</v>
      </c>
      <c r="B52" s="5">
        <v>46160.0</v>
      </c>
      <c r="C52" s="2">
        <v>400.0</v>
      </c>
      <c r="D52" s="2" t="s">
        <v>9</v>
      </c>
      <c r="E52" s="2" t="s">
        <v>28</v>
      </c>
    </row>
    <row r="53" hidden="1">
      <c r="A53" s="2" t="s">
        <v>25</v>
      </c>
      <c r="B53" s="5">
        <v>46164.0</v>
      </c>
      <c r="C53" s="2">
        <v>475.0</v>
      </c>
      <c r="D53" s="2" t="s">
        <v>22</v>
      </c>
      <c r="E53" s="2" t="s">
        <v>196</v>
      </c>
    </row>
    <row r="54" hidden="1">
      <c r="A54" s="2" t="s">
        <v>8</v>
      </c>
      <c r="B54" s="5">
        <v>46166.0</v>
      </c>
      <c r="C54" s="2">
        <v>20.0</v>
      </c>
      <c r="D54" s="2" t="s">
        <v>9</v>
      </c>
      <c r="E54" s="2" t="s">
        <v>8</v>
      </c>
    </row>
    <row r="55" hidden="1">
      <c r="A55" s="2" t="s">
        <v>207</v>
      </c>
      <c r="B55" s="5">
        <v>46166.0</v>
      </c>
      <c r="C55" s="2">
        <v>2120.0</v>
      </c>
      <c r="D55" s="2" t="s">
        <v>9</v>
      </c>
      <c r="E55" s="2" t="s">
        <v>28</v>
      </c>
    </row>
    <row r="56" hidden="1">
      <c r="A56" s="2" t="s">
        <v>208</v>
      </c>
      <c r="B56" s="5">
        <v>46167.0</v>
      </c>
      <c r="C56" s="2">
        <v>165.0</v>
      </c>
      <c r="D56" s="2" t="s">
        <v>90</v>
      </c>
      <c r="E56" s="2" t="s">
        <v>120</v>
      </c>
    </row>
    <row r="57" hidden="1">
      <c r="A57" s="2" t="s">
        <v>10</v>
      </c>
      <c r="B57" s="5">
        <v>46167.0</v>
      </c>
      <c r="C57" s="2">
        <v>21.0</v>
      </c>
      <c r="D57" s="2" t="s">
        <v>7</v>
      </c>
      <c r="E57" s="2" t="s">
        <v>10</v>
      </c>
    </row>
    <row r="58" hidden="1">
      <c r="A58" s="2" t="s">
        <v>39</v>
      </c>
      <c r="B58" s="5">
        <v>46167.0</v>
      </c>
      <c r="C58" s="2">
        <v>50.0</v>
      </c>
      <c r="D58" s="2" t="s">
        <v>7</v>
      </c>
      <c r="E58" s="2" t="s">
        <v>39</v>
      </c>
    </row>
    <row r="59" hidden="1">
      <c r="A59" s="2" t="s">
        <v>85</v>
      </c>
      <c r="B59" s="5">
        <v>46167.0</v>
      </c>
      <c r="C59" s="2">
        <v>420.0</v>
      </c>
      <c r="D59" s="2" t="s">
        <v>22</v>
      </c>
      <c r="E59" s="2" t="s">
        <v>25</v>
      </c>
    </row>
    <row r="60" hidden="1">
      <c r="A60" s="2" t="s">
        <v>197</v>
      </c>
      <c r="B60" s="5">
        <v>46167.0</v>
      </c>
      <c r="C60" s="2">
        <v>40.0</v>
      </c>
      <c r="D60" s="2" t="s">
        <v>9</v>
      </c>
      <c r="E60" s="2" t="s">
        <v>28</v>
      </c>
    </row>
    <row r="61">
      <c r="A61" s="2" t="s">
        <v>91</v>
      </c>
      <c r="B61" s="5">
        <v>46167.0</v>
      </c>
      <c r="C61" s="2">
        <v>60.0</v>
      </c>
      <c r="D61" s="2" t="s">
        <v>57</v>
      </c>
      <c r="E61" s="2" t="s">
        <v>59</v>
      </c>
    </row>
    <row r="62" hidden="1">
      <c r="A62" s="2" t="s">
        <v>209</v>
      </c>
      <c r="B62" s="5">
        <v>46167.0</v>
      </c>
      <c r="C62" s="2">
        <v>136.0</v>
      </c>
      <c r="D62" s="2" t="s">
        <v>22</v>
      </c>
      <c r="E62" s="2" t="s">
        <v>25</v>
      </c>
    </row>
    <row r="63" hidden="1">
      <c r="A63" s="2" t="s">
        <v>10</v>
      </c>
      <c r="B63" s="5">
        <v>46167.0</v>
      </c>
      <c r="C63" s="2">
        <v>25.0</v>
      </c>
      <c r="D63" s="2" t="s">
        <v>7</v>
      </c>
      <c r="E63" s="2" t="s">
        <v>10</v>
      </c>
    </row>
    <row r="64" hidden="1">
      <c r="A64" s="2" t="s">
        <v>116</v>
      </c>
      <c r="B64" s="5">
        <v>46167.0</v>
      </c>
      <c r="C64" s="2">
        <v>42.0</v>
      </c>
      <c r="D64" s="2" t="s">
        <v>22</v>
      </c>
      <c r="E64" s="2" t="s">
        <v>196</v>
      </c>
    </row>
    <row r="65" hidden="1">
      <c r="A65" s="2" t="s">
        <v>25</v>
      </c>
      <c r="B65" s="5">
        <v>46168.0</v>
      </c>
      <c r="C65" s="2">
        <v>709.0</v>
      </c>
      <c r="D65" s="2" t="s">
        <v>22</v>
      </c>
      <c r="E65" s="2" t="s">
        <v>25</v>
      </c>
    </row>
    <row r="66" hidden="1">
      <c r="A66" s="2" t="s">
        <v>17</v>
      </c>
      <c r="B66" s="5">
        <v>46169.0</v>
      </c>
      <c r="C66" s="2">
        <v>278.0</v>
      </c>
      <c r="D66" s="2" t="s">
        <v>17</v>
      </c>
      <c r="E66" s="2" t="s">
        <v>35</v>
      </c>
    </row>
    <row r="67" hidden="1">
      <c r="A67" s="2" t="s">
        <v>39</v>
      </c>
      <c r="B67" s="5">
        <v>46171.0</v>
      </c>
      <c r="C67" s="2">
        <v>260.0</v>
      </c>
      <c r="D67" s="2" t="s">
        <v>7</v>
      </c>
      <c r="E67" s="2" t="s">
        <v>39</v>
      </c>
    </row>
    <row r="68" hidden="1">
      <c r="A68" s="2" t="s">
        <v>25</v>
      </c>
      <c r="B68" s="5">
        <v>46172.0</v>
      </c>
      <c r="C68" s="2">
        <v>297.0</v>
      </c>
      <c r="D68" s="2" t="s">
        <v>22</v>
      </c>
      <c r="E68" s="2" t="s">
        <v>25</v>
      </c>
    </row>
    <row r="69" hidden="1">
      <c r="A69" s="2" t="s">
        <v>23</v>
      </c>
      <c r="B69" s="5">
        <v>46172.0</v>
      </c>
      <c r="C69" s="2">
        <v>50.0</v>
      </c>
      <c r="D69" s="2" t="s">
        <v>22</v>
      </c>
      <c r="E69" s="2" t="s">
        <v>23</v>
      </c>
    </row>
    <row r="70" hidden="1">
      <c r="B70" s="5"/>
    </row>
    <row r="71" hidden="1">
      <c r="B71" s="2" t="s">
        <v>187</v>
      </c>
      <c r="C71" s="13">
        <f>SUM(C2:C69)</f>
        <v>21668</v>
      </c>
    </row>
    <row r="72" hidden="1">
      <c r="B72" s="2" t="s">
        <v>146</v>
      </c>
      <c r="C72" s="2">
        <v>-30000.0</v>
      </c>
    </row>
    <row r="73" hidden="1">
      <c r="B73" s="2" t="s">
        <v>206</v>
      </c>
      <c r="C73" s="13">
        <f>SUM(C71:C72)</f>
        <v>-8332</v>
      </c>
    </row>
    <row r="74" hidden="1">
      <c r="B74" s="5"/>
    </row>
    <row r="75" hidden="1">
      <c r="B75" s="5"/>
    </row>
    <row r="76" hidden="1">
      <c r="B76" s="5"/>
    </row>
    <row r="77" hidden="1">
      <c r="B77" s="5"/>
    </row>
    <row r="78" hidden="1">
      <c r="B78" s="5"/>
    </row>
    <row r="79" hidden="1">
      <c r="B79" s="5"/>
    </row>
    <row r="80" hidden="1">
      <c r="B80" s="5"/>
    </row>
    <row r="81" hidden="1">
      <c r="B81" s="5"/>
    </row>
    <row r="82" hidden="1">
      <c r="B82" s="5"/>
    </row>
    <row r="83" hidden="1">
      <c r="B83" s="5"/>
    </row>
    <row r="84" hidden="1">
      <c r="B84" s="5"/>
    </row>
    <row r="85" hidden="1">
      <c r="B85" s="5"/>
    </row>
    <row r="86" hidden="1">
      <c r="B86" s="5"/>
    </row>
    <row r="87" hidden="1">
      <c r="B87" s="5"/>
    </row>
    <row r="88" hidden="1">
      <c r="B88" s="5"/>
    </row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</sheetData>
  <autoFilter ref="$D$1:$D$1008">
    <filterColumn colId="0">
      <filters>
        <filter val="Food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4" max="4" width="13.0"/>
    <col customWidth="1" min="5" max="5" width="15.25"/>
    <col customWidth="1" min="18" max="18" width="18.5"/>
  </cols>
  <sheetData>
    <row r="1">
      <c r="A1" s="1" t="s">
        <v>0</v>
      </c>
      <c r="B1" s="4" t="s">
        <v>1</v>
      </c>
      <c r="C1" s="1" t="s">
        <v>4</v>
      </c>
      <c r="D1" s="1" t="s">
        <v>2</v>
      </c>
      <c r="E1" s="1" t="s">
        <v>3</v>
      </c>
    </row>
    <row r="2">
      <c r="A2" s="7" t="s">
        <v>5</v>
      </c>
      <c r="B2" s="9">
        <v>46174.0</v>
      </c>
      <c r="C2" s="10">
        <v>20.0</v>
      </c>
      <c r="D2" s="7" t="str">
        <f t="array" ref="D2">_xlfn.XLOOKUP(A2,Categories!A:A, Categories!B:B, "Check Category", 0)</f>
        <v>Check Category</v>
      </c>
      <c r="E2" s="7" t="str">
        <f t="array" ref="E2">_xlfn.XLOOKUP(A2, Categories!A:A, Categories!C:C, "Check subcategory", 0)</f>
        <v>Check subcategory</v>
      </c>
    </row>
    <row r="3">
      <c r="A3" s="14" t="s">
        <v>89</v>
      </c>
      <c r="B3" s="9">
        <v>46174.0</v>
      </c>
      <c r="C3" s="15">
        <v>512.0</v>
      </c>
      <c r="D3" s="7" t="str">
        <f t="array" ref="D3">_xlfn.XLOOKUP(A3,Categories!A:A, Categories!B:B, "Check Category", 0)</f>
        <v>Onetime</v>
      </c>
      <c r="E3" s="7" t="str">
        <f t="array" ref="E3">_xlfn.XLOOKUP(A3, Categories!A:A, Categories!C:C, "Check subcategory", 0)</f>
        <v>Courier</v>
      </c>
    </row>
    <row r="4">
      <c r="A4" s="2" t="s">
        <v>15</v>
      </c>
      <c r="B4" s="9">
        <v>46174.0</v>
      </c>
      <c r="C4" s="2">
        <v>950.0</v>
      </c>
      <c r="D4" s="7" t="str">
        <f t="array" ref="D4">_xlfn.XLOOKUP(A4,Categories!A:A, Categories!B:B, "Check Category", 0)</f>
        <v>House</v>
      </c>
      <c r="E4" s="7" t="str">
        <f t="array" ref="E4">_xlfn.XLOOKUP(A4, Categories!A:A, Categories!C:C, "Check subcategory", 0)</f>
        <v>Gas</v>
      </c>
    </row>
    <row r="5">
      <c r="A5" s="2" t="s">
        <v>89</v>
      </c>
      <c r="B5" s="9">
        <v>46174.0</v>
      </c>
      <c r="C5" s="2">
        <v>1500.0</v>
      </c>
      <c r="D5" s="7" t="str">
        <f t="array" ref="D5">_xlfn.XLOOKUP(A5,Categories!A:A, Categories!B:B, "Check Category", 0)</f>
        <v>Onetime</v>
      </c>
      <c r="E5" s="7" t="str">
        <f t="array" ref="E5">_xlfn.XLOOKUP(A5, Categories!A:A, Categories!C:C, "Check subcategory", 0)</f>
        <v>Courier</v>
      </c>
    </row>
    <row r="6">
      <c r="A6" s="2" t="s">
        <v>26</v>
      </c>
      <c r="B6" s="9">
        <v>46175.0</v>
      </c>
      <c r="C6" s="2">
        <v>400.0</v>
      </c>
      <c r="D6" s="7" t="str">
        <f t="array" ref="D6">_xlfn.XLOOKUP(A6,Categories!A:A, Categories!B:B, "Check Category", 0)</f>
        <v>House</v>
      </c>
      <c r="E6" s="7" t="str">
        <f t="array" ref="E6">_xlfn.XLOOKUP(A6, Categories!A:A, Categories!C:C, "Check subcategory", 0)</f>
        <v>Common</v>
      </c>
    </row>
    <row r="7">
      <c r="A7" s="2" t="s">
        <v>89</v>
      </c>
      <c r="B7" s="9">
        <v>46175.0</v>
      </c>
      <c r="C7" s="2">
        <v>330.0</v>
      </c>
      <c r="D7" s="7" t="str">
        <f t="array" ref="D7">_xlfn.XLOOKUP(A7,Categories!A:A, Categories!B:B, "Check Category", 0)</f>
        <v>Onetime</v>
      </c>
      <c r="E7" s="7" t="str">
        <f t="array" ref="E7">_xlfn.XLOOKUP(A7, Categories!A:A, Categories!C:C, "Check subcategory", 0)</f>
        <v>Courier</v>
      </c>
    </row>
    <row r="8">
      <c r="A8" s="2" t="s">
        <v>25</v>
      </c>
      <c r="B8" s="9">
        <v>46176.0</v>
      </c>
      <c r="C8" s="2">
        <v>611.0</v>
      </c>
      <c r="D8" s="7" t="str">
        <f t="array" ref="D8">_xlfn.XLOOKUP(A8,Categories!A:A, Categories!B:B, "Check Category", 0)</f>
        <v>Provision</v>
      </c>
      <c r="E8" s="7" t="str">
        <f t="array" ref="E8">_xlfn.XLOOKUP(A8, Categories!A:A, Categories!C:C, "Check subcategory", 0)</f>
        <v>Provision</v>
      </c>
    </row>
    <row r="9">
      <c r="A9" s="2" t="s">
        <v>10</v>
      </c>
      <c r="B9" s="9">
        <v>46176.0</v>
      </c>
      <c r="C9" s="2">
        <v>38.0</v>
      </c>
      <c r="D9" s="7" t="str">
        <f t="array" ref="D9">_xlfn.XLOOKUP(A9,Categories!A:A, Categories!B:B, "Check Category", 0)</f>
        <v>Transport</v>
      </c>
      <c r="E9" s="7" t="str">
        <f t="array" ref="E9">_xlfn.XLOOKUP(A9, Categories!A:A, Categories!C:C, "Check subcategory", 0)</f>
        <v>Bus</v>
      </c>
    </row>
    <row r="10">
      <c r="A10" s="2" t="s">
        <v>39</v>
      </c>
      <c r="B10" s="9">
        <v>46176.0</v>
      </c>
      <c r="C10" s="2">
        <v>70.0</v>
      </c>
      <c r="D10" s="7" t="str">
        <f t="array" ref="D10">_xlfn.XLOOKUP(A10,Categories!A:A, Categories!B:B, "Check Category", 0)</f>
        <v>Transport</v>
      </c>
      <c r="E10" s="7" t="str">
        <f t="array" ref="E10">_xlfn.XLOOKUP(A10, Categories!A:A, Categories!C:C, "Check subcategory", 0)</f>
        <v>Auto</v>
      </c>
    </row>
    <row r="11">
      <c r="A11" s="2" t="s">
        <v>39</v>
      </c>
      <c r="B11" s="9">
        <v>46176.0</v>
      </c>
      <c r="C11" s="2">
        <v>120.0</v>
      </c>
      <c r="D11" s="7" t="str">
        <f t="array" ref="D11">_xlfn.XLOOKUP(A11,Categories!A:A, Categories!B:B, "Check Category", 0)</f>
        <v>Transport</v>
      </c>
      <c r="E11" s="7" t="str">
        <f t="array" ref="E11">_xlfn.XLOOKUP(A11, Categories!A:A, Categories!C:C, "Check subcategory", 0)</f>
        <v>Auto</v>
      </c>
    </row>
    <row r="12">
      <c r="A12" s="2" t="s">
        <v>10</v>
      </c>
      <c r="B12" s="9">
        <v>46176.0</v>
      </c>
      <c r="C12" s="2">
        <v>20.0</v>
      </c>
      <c r="D12" s="7" t="str">
        <f t="array" ref="D12">_xlfn.XLOOKUP(A12,Categories!A:A, Categories!B:B, "Check Category", 0)</f>
        <v>Transport</v>
      </c>
      <c r="E12" s="7" t="str">
        <f t="array" ref="E12">_xlfn.XLOOKUP(A12, Categories!A:A, Categories!C:C, "Check subcategory", 0)</f>
        <v>Bus</v>
      </c>
    </row>
    <row r="13">
      <c r="A13" s="2" t="s">
        <v>17</v>
      </c>
      <c r="B13" s="9">
        <v>46176.0</v>
      </c>
      <c r="C13" s="2">
        <v>188.0</v>
      </c>
      <c r="D13" s="7" t="str">
        <f t="array" ref="D13">_xlfn.XLOOKUP(A13,Categories!A:A, Categories!B:B, "Check Category", 0)</f>
        <v>Medicine</v>
      </c>
      <c r="E13" s="7" t="str">
        <f t="array" ref="E13">_xlfn.XLOOKUP(A13, Categories!A:A, Categories!C:C, "Check subcategory", 0)</f>
        <v>Common</v>
      </c>
    </row>
    <row r="14">
      <c r="A14" s="2" t="s">
        <v>62</v>
      </c>
      <c r="B14" s="9">
        <v>46176.0</v>
      </c>
      <c r="C14" s="2">
        <v>120.0</v>
      </c>
      <c r="D14" s="7" t="str">
        <f t="array" ref="D14">_xlfn.XLOOKUP(A14,Categories!A:A, Categories!B:B, "Check Category", 0)</f>
        <v>Food</v>
      </c>
      <c r="E14" s="7" t="str">
        <f t="array" ref="E14">_xlfn.XLOOKUP(A14, Categories!A:A, Categories!C:C, "Check subcategory", 0)</f>
        <v>Outside</v>
      </c>
    </row>
    <row r="15">
      <c r="A15" s="2" t="s">
        <v>89</v>
      </c>
      <c r="B15" s="9">
        <v>46176.0</v>
      </c>
      <c r="C15" s="2">
        <v>850.0</v>
      </c>
      <c r="D15" s="7" t="str">
        <f t="array" ref="D15">_xlfn.XLOOKUP(A15,Categories!A:A, Categories!B:B, "Check Category", 0)</f>
        <v>Onetime</v>
      </c>
      <c r="E15" s="7" t="str">
        <f t="array" ref="E15">_xlfn.XLOOKUP(A15, Categories!A:A, Categories!C:C, "Check subcategory", 0)</f>
        <v>Courier</v>
      </c>
    </row>
    <row r="16">
      <c r="A16" s="2" t="s">
        <v>89</v>
      </c>
      <c r="B16" s="9">
        <v>46177.0</v>
      </c>
      <c r="C16" s="2">
        <v>2350.0</v>
      </c>
      <c r="D16" s="7" t="str">
        <f t="array" ref="D16">_xlfn.XLOOKUP(A16,Categories!A:A, Categories!B:B, "Check Category", 0)</f>
        <v>Onetime</v>
      </c>
      <c r="E16" s="7" t="str">
        <f t="array" ref="E16">_xlfn.XLOOKUP(A16, Categories!A:A, Categories!C:C, "Check subcategory", 0)</f>
        <v>Courier</v>
      </c>
    </row>
    <row r="17">
      <c r="A17" s="2" t="s">
        <v>23</v>
      </c>
      <c r="B17" s="9">
        <v>46178.0</v>
      </c>
      <c r="C17" s="2">
        <v>100.0</v>
      </c>
      <c r="D17" s="7" t="str">
        <f t="array" ref="D17">_xlfn.XLOOKUP(A17,Categories!A:A, Categories!B:B, "Check Category", 0)</f>
        <v>Grocery</v>
      </c>
      <c r="E17" s="7" t="str">
        <f t="array" ref="E17">_xlfn.XLOOKUP(A17, Categories!A:A, Categories!C:C, "Check subcategory", 0)</f>
        <v>Vegetables</v>
      </c>
    </row>
    <row r="18">
      <c r="A18" s="2" t="s">
        <v>11</v>
      </c>
      <c r="B18" s="9">
        <v>46178.0</v>
      </c>
      <c r="C18" s="2">
        <v>2106.0</v>
      </c>
      <c r="D18" s="7" t="str">
        <f t="array" ref="D18">_xlfn.XLOOKUP(A18,Categories!A:A, Categories!B:B, "Check Category", 0)</f>
        <v>House</v>
      </c>
      <c r="E18" s="7" t="str">
        <f t="array" ref="E18">_xlfn.XLOOKUP(A18, Categories!A:A, Categories!C:C, "Check subcategory", 0)</f>
        <v>Milk</v>
      </c>
    </row>
    <row r="19">
      <c r="A19" s="2" t="s">
        <v>10</v>
      </c>
      <c r="B19" s="9">
        <v>46179.0</v>
      </c>
      <c r="C19" s="2">
        <v>60.0</v>
      </c>
      <c r="D19" s="7" t="str">
        <f t="array" ref="D19">_xlfn.XLOOKUP(A19,Categories!A:A, Categories!B:B, "Check Category", 0)</f>
        <v>Transport</v>
      </c>
      <c r="E19" s="7" t="str">
        <f t="array" ref="E19">_xlfn.XLOOKUP(A19, Categories!A:A, Categories!C:C, "Check subcategory", 0)</f>
        <v>Bus</v>
      </c>
    </row>
    <row r="20">
      <c r="A20" s="2" t="s">
        <v>78</v>
      </c>
      <c r="B20" s="9">
        <v>46179.0</v>
      </c>
      <c r="C20" s="2">
        <v>60.0</v>
      </c>
      <c r="D20" s="7" t="str">
        <f t="array" ref="D20">_xlfn.XLOOKUP(A20,Categories!A:A, Categories!B:B, "Check Category", 0)</f>
        <v>Grocery</v>
      </c>
      <c r="E20" s="7" t="str">
        <f t="array" ref="E20">_xlfn.XLOOKUP(A20, Categories!A:A, Categories!C:C, "Check subcategory", 0)</f>
        <v>Readymade</v>
      </c>
    </row>
    <row r="21">
      <c r="A21" s="2" t="s">
        <v>64</v>
      </c>
      <c r="B21" s="9">
        <v>46179.0</v>
      </c>
      <c r="C21" s="2">
        <v>30.0</v>
      </c>
      <c r="D21" s="7" t="str">
        <f t="array" ref="D21">_xlfn.XLOOKUP(A21,Categories!A:A, Categories!B:B, "Check Category", 0)</f>
        <v>Provision</v>
      </c>
      <c r="E21" s="7" t="str">
        <f t="array" ref="E21">_xlfn.XLOOKUP(A21, Categories!A:A, Categories!C:C, "Check subcategory", 0)</f>
        <v>Snacks</v>
      </c>
    </row>
    <row r="22">
      <c r="A22" s="2" t="s">
        <v>23</v>
      </c>
      <c r="B22" s="9">
        <v>46179.0</v>
      </c>
      <c r="C22" s="2">
        <v>717.0</v>
      </c>
      <c r="D22" s="7" t="str">
        <f t="array" ref="D22">_xlfn.XLOOKUP(A22,Categories!A:A, Categories!B:B, "Check Category", 0)</f>
        <v>Grocery</v>
      </c>
      <c r="E22" s="7" t="str">
        <f t="array" ref="E22">_xlfn.XLOOKUP(A22, Categories!A:A, Categories!C:C, "Check subcategory", 0)</f>
        <v>Vegetables</v>
      </c>
    </row>
    <row r="23">
      <c r="A23" s="2" t="s">
        <v>25</v>
      </c>
      <c r="B23" s="9">
        <v>46179.0</v>
      </c>
      <c r="C23" s="2">
        <v>150.0</v>
      </c>
      <c r="D23" s="7" t="str">
        <f t="array" ref="D23">_xlfn.XLOOKUP(A23,Categories!A:A, Categories!B:B, "Check Category", 0)</f>
        <v>Provision</v>
      </c>
      <c r="E23" s="7" t="str">
        <f t="array" ref="E23">_xlfn.XLOOKUP(A23, Categories!A:A, Categories!C:C, "Check subcategory", 0)</f>
        <v>Provision</v>
      </c>
    </row>
    <row r="24">
      <c r="A24" s="2" t="s">
        <v>25</v>
      </c>
      <c r="B24" s="9">
        <v>46179.0</v>
      </c>
      <c r="C24" s="2">
        <v>453.0</v>
      </c>
      <c r="D24" s="7" t="str">
        <f t="array" ref="D24">_xlfn.XLOOKUP(A24,Categories!A:A, Categories!B:B, "Check Category", 0)</f>
        <v>Provision</v>
      </c>
      <c r="E24" s="7" t="str">
        <f t="array" ref="E24">_xlfn.XLOOKUP(A24, Categories!A:A, Categories!C:C, "Check subcategory", 0)</f>
        <v>Provision</v>
      </c>
    </row>
    <row r="25">
      <c r="A25" s="2" t="s">
        <v>8</v>
      </c>
      <c r="B25" s="9">
        <v>46180.0</v>
      </c>
      <c r="C25" s="2">
        <v>50.0</v>
      </c>
      <c r="D25" s="7" t="str">
        <f t="array" ref="D25">_xlfn.XLOOKUP(A25,Categories!A:A, Categories!B:B, "Check Category", 0)</f>
        <v>House</v>
      </c>
      <c r="E25" s="7" t="str">
        <f t="array" ref="E25">_xlfn.XLOOKUP(A25, Categories!A:A, Categories!C:C, "Check subcategory", 0)</f>
        <v>Newspaper</v>
      </c>
    </row>
    <row r="26">
      <c r="A26" s="2" t="s">
        <v>23</v>
      </c>
      <c r="B26" s="9">
        <v>46180.0</v>
      </c>
      <c r="C26" s="2">
        <v>50.0</v>
      </c>
      <c r="D26" s="7" t="str">
        <f t="array" ref="D26">_xlfn.XLOOKUP(A26,Categories!A:A, Categories!B:B, "Check Category", 0)</f>
        <v>Grocery</v>
      </c>
      <c r="E26" s="7" t="str">
        <f t="array" ref="E26">_xlfn.XLOOKUP(A26, Categories!A:A, Categories!C:C, "Check subcategory", 0)</f>
        <v>Vegetables</v>
      </c>
    </row>
    <row r="27">
      <c r="A27" s="2" t="s">
        <v>78</v>
      </c>
      <c r="B27" s="16">
        <v>46182.0</v>
      </c>
      <c r="C27" s="2">
        <v>875.0</v>
      </c>
      <c r="D27" s="7" t="str">
        <f t="array" ref="D27">_xlfn.XLOOKUP(A27,Categories!A:A, Categories!B:B, "Check Category", 0)</f>
        <v>Grocery</v>
      </c>
      <c r="E27" s="7" t="str">
        <f t="array" ref="E27">_xlfn.XLOOKUP(A27, Categories!A:A, Categories!C:C, "Check subcategory", 0)</f>
        <v>Readymade</v>
      </c>
    </row>
    <row r="28">
      <c r="A28" s="2" t="s">
        <v>10</v>
      </c>
      <c r="B28" s="16">
        <v>46182.0</v>
      </c>
      <c r="C28" s="2">
        <v>50.0</v>
      </c>
      <c r="D28" s="7" t="str">
        <f t="array" ref="D28">_xlfn.XLOOKUP(A28,Categories!A:A, Categories!B:B, "Check Category", 0)</f>
        <v>Transport</v>
      </c>
      <c r="E28" s="7" t="str">
        <f t="array" ref="E28">_xlfn.XLOOKUP(A28, Categories!A:A, Categories!C:C, "Check subcategory", 0)</f>
        <v>Bus</v>
      </c>
    </row>
    <row r="29">
      <c r="A29" s="2" t="s">
        <v>25</v>
      </c>
      <c r="B29" s="16">
        <v>46182.0</v>
      </c>
      <c r="C29" s="2">
        <v>375.0</v>
      </c>
      <c r="D29" s="7" t="str">
        <f t="array" ref="D29">_xlfn.XLOOKUP(A29,Categories!A:A, Categories!B:B, "Check Category", 0)</f>
        <v>Provision</v>
      </c>
      <c r="E29" s="7" t="str">
        <f t="array" ref="E29">_xlfn.XLOOKUP(A29, Categories!A:A, Categories!C:C, "Check subcategory", 0)</f>
        <v>Provision</v>
      </c>
    </row>
    <row r="30">
      <c r="A30" s="2" t="s">
        <v>78</v>
      </c>
      <c r="B30" s="16">
        <v>46183.0</v>
      </c>
      <c r="C30" s="2">
        <v>40.0</v>
      </c>
      <c r="D30" s="7" t="str">
        <f t="array" ref="D30">_xlfn.XLOOKUP(A30,Categories!A:A, Categories!B:B, "Check Category", 0)</f>
        <v>Grocery</v>
      </c>
      <c r="E30" s="7" t="str">
        <f t="array" ref="E30">_xlfn.XLOOKUP(A30, Categories!A:A, Categories!C:C, "Check subcategory", 0)</f>
        <v>Readymade</v>
      </c>
    </row>
    <row r="31">
      <c r="A31" s="2" t="s">
        <v>134</v>
      </c>
      <c r="B31" s="16">
        <v>46185.0</v>
      </c>
      <c r="C31" s="2">
        <v>360.0</v>
      </c>
      <c r="D31" s="14" t="s">
        <v>134</v>
      </c>
      <c r="E31" s="14" t="s">
        <v>35</v>
      </c>
    </row>
    <row r="32">
      <c r="A32" s="2" t="s">
        <v>10</v>
      </c>
      <c r="B32" s="16">
        <v>46185.0</v>
      </c>
      <c r="C32" s="2">
        <v>10.0</v>
      </c>
      <c r="D32" s="7" t="str">
        <f t="array" ref="D32">_xlfn.XLOOKUP(A32,Categories!A:A, Categories!B:B, "Check Category", 0)</f>
        <v>Transport</v>
      </c>
      <c r="E32" s="7" t="str">
        <f t="array" ref="E32">_xlfn.XLOOKUP(A32, Categories!A:A, Categories!C:C, "Check subcategory", 0)</f>
        <v>Bus</v>
      </c>
    </row>
    <row r="33">
      <c r="A33" s="2" t="s">
        <v>39</v>
      </c>
      <c r="B33" s="16">
        <v>46185.0</v>
      </c>
      <c r="C33" s="2">
        <v>70.0</v>
      </c>
      <c r="D33" s="7" t="str">
        <f t="array" ref="D33">_xlfn.XLOOKUP(A33,Categories!A:A, Categories!B:B, "Check Category", 0)</f>
        <v>Transport</v>
      </c>
      <c r="E33" s="7" t="str">
        <f t="array" ref="E33">_xlfn.XLOOKUP(A33, Categories!A:A, Categories!C:C, "Check subcategory", 0)</f>
        <v>Auto</v>
      </c>
    </row>
    <row r="34">
      <c r="A34" s="2" t="s">
        <v>85</v>
      </c>
      <c r="B34" s="16">
        <v>46185.0</v>
      </c>
      <c r="C34" s="2">
        <v>410.0</v>
      </c>
      <c r="D34" s="7" t="str">
        <f t="array" ref="D34">_xlfn.XLOOKUP(A34,Categories!A:A, Categories!B:B, "Check Category", 0)</f>
        <v>Provision</v>
      </c>
      <c r="E34" s="7" t="str">
        <f t="array" ref="E34">_xlfn.XLOOKUP(A34, Categories!A:A, Categories!C:C, "Check subcategory", 0)</f>
        <v>Honey</v>
      </c>
    </row>
    <row r="35">
      <c r="A35" s="2" t="s">
        <v>78</v>
      </c>
      <c r="B35" s="16">
        <v>46185.0</v>
      </c>
      <c r="C35" s="2">
        <v>42.0</v>
      </c>
      <c r="D35" s="7" t="str">
        <f t="array" ref="D35">_xlfn.XLOOKUP(A35,Categories!A:A, Categories!B:B, "Check Category", 0)</f>
        <v>Grocery</v>
      </c>
      <c r="E35" s="7" t="str">
        <f t="array" ref="E35">_xlfn.XLOOKUP(A35, Categories!A:A, Categories!C:C, "Check subcategory", 0)</f>
        <v>Readymade</v>
      </c>
    </row>
    <row r="36">
      <c r="A36" s="2" t="s">
        <v>84</v>
      </c>
      <c r="B36" s="16">
        <v>46185.0</v>
      </c>
      <c r="C36" s="2">
        <v>980.0</v>
      </c>
      <c r="D36" s="7" t="str">
        <f t="array" ref="D36">_xlfn.XLOOKUP(A36,Categories!A:A, Categories!B:B, "Check Category", 0)</f>
        <v>Provision</v>
      </c>
      <c r="E36" s="7" t="str">
        <f t="array" ref="E36">_xlfn.XLOOKUP(A36, Categories!A:A, Categories!C:C, "Check subcategory", 0)</f>
        <v>Dry fruits</v>
      </c>
    </row>
    <row r="37">
      <c r="A37" s="2" t="s">
        <v>10</v>
      </c>
      <c r="B37" s="16">
        <v>46185.0</v>
      </c>
      <c r="C37" s="2">
        <v>22.0</v>
      </c>
      <c r="D37" s="7" t="str">
        <f t="array" ref="D37">_xlfn.XLOOKUP(A37,Categories!A:A, Categories!B:B, "Check Category", 0)</f>
        <v>Transport</v>
      </c>
      <c r="E37" s="7" t="str">
        <f t="array" ref="E37">_xlfn.XLOOKUP(A37, Categories!A:A, Categories!C:C, "Check subcategory", 0)</f>
        <v>Bus</v>
      </c>
    </row>
    <row r="38">
      <c r="A38" s="2" t="s">
        <v>23</v>
      </c>
      <c r="B38" s="16">
        <v>46185.0</v>
      </c>
      <c r="C38" s="2">
        <v>25.0</v>
      </c>
      <c r="D38" s="7" t="str">
        <f t="array" ref="D38">_xlfn.XLOOKUP(A38,Categories!A:A, Categories!B:B, "Check Category", 0)</f>
        <v>Grocery</v>
      </c>
      <c r="E38" s="7" t="str">
        <f t="array" ref="E38">_xlfn.XLOOKUP(A38, Categories!A:A, Categories!C:C, "Check subcategory", 0)</f>
        <v>Vegetables</v>
      </c>
    </row>
    <row r="39">
      <c r="A39" s="2" t="s">
        <v>64</v>
      </c>
      <c r="B39" s="16">
        <v>46185.0</v>
      </c>
      <c r="C39" s="2">
        <v>539.0</v>
      </c>
      <c r="D39" s="7" t="str">
        <f t="array" ref="D39">_xlfn.XLOOKUP(A39,Categories!A:A, Categories!B:B, "Check Category", 0)</f>
        <v>Provision</v>
      </c>
      <c r="E39" s="7" t="str">
        <f t="array" ref="E39">_xlfn.XLOOKUP(A39, Categories!A:A, Categories!C:C, "Check subcategory", 0)</f>
        <v>Snacks</v>
      </c>
    </row>
    <row r="40">
      <c r="A40" s="2" t="s">
        <v>39</v>
      </c>
      <c r="B40" s="16">
        <v>46185.0</v>
      </c>
      <c r="C40" s="2">
        <v>234.0</v>
      </c>
      <c r="D40" s="7" t="str">
        <f t="array" ref="D40">_xlfn.XLOOKUP(A40,Categories!A:A, Categories!B:B, "Check Category", 0)</f>
        <v>Transport</v>
      </c>
      <c r="E40" s="7" t="str">
        <f t="array" ref="E40">_xlfn.XLOOKUP(A40, Categories!A:A, Categories!C:C, "Check subcategory", 0)</f>
        <v>Auto</v>
      </c>
    </row>
    <row r="41">
      <c r="A41" s="2" t="s">
        <v>213</v>
      </c>
      <c r="B41" s="16">
        <v>46185.0</v>
      </c>
      <c r="C41" s="2">
        <v>1234.0</v>
      </c>
      <c r="D41" s="14" t="s">
        <v>17</v>
      </c>
      <c r="E41" s="14" t="s">
        <v>120</v>
      </c>
    </row>
    <row r="42">
      <c r="A42" s="2" t="s">
        <v>126</v>
      </c>
      <c r="B42" s="16">
        <v>46185.0</v>
      </c>
      <c r="C42" s="2">
        <v>300.0</v>
      </c>
      <c r="D42" s="14" t="s">
        <v>48</v>
      </c>
      <c r="E42" s="14" t="s">
        <v>120</v>
      </c>
    </row>
    <row r="43">
      <c r="A43" s="2" t="s">
        <v>39</v>
      </c>
      <c r="B43" s="16">
        <v>46186.0</v>
      </c>
      <c r="C43" s="2">
        <v>180.0</v>
      </c>
      <c r="D43" s="7" t="str">
        <f t="array" ref="D43">_xlfn.XLOOKUP(A43,Categories!A:A, Categories!B:B, "Check Category", 0)</f>
        <v>Transport</v>
      </c>
      <c r="E43" s="7" t="str">
        <f t="array" ref="E43">_xlfn.XLOOKUP(A43, Categories!A:A, Categories!C:C, "Check subcategory", 0)</f>
        <v>Auto</v>
      </c>
    </row>
    <row r="44">
      <c r="A44" s="2" t="s">
        <v>39</v>
      </c>
      <c r="B44" s="16">
        <v>46186.0</v>
      </c>
      <c r="C44" s="2">
        <v>120.0</v>
      </c>
      <c r="D44" s="7" t="str">
        <f t="array" ref="D44">_xlfn.XLOOKUP(A44,Categories!A:A, Categories!B:B, "Check Category", 0)</f>
        <v>Transport</v>
      </c>
      <c r="E44" s="7" t="str">
        <f t="array" ref="E44">_xlfn.XLOOKUP(A44, Categories!A:A, Categories!C:C, "Check subcategory", 0)</f>
        <v>Auto</v>
      </c>
    </row>
    <row r="45">
      <c r="A45" s="2" t="s">
        <v>39</v>
      </c>
      <c r="B45" s="16">
        <v>46187.0</v>
      </c>
      <c r="C45" s="2">
        <v>200.0</v>
      </c>
      <c r="D45" s="7" t="str">
        <f t="array" ref="D45">_xlfn.XLOOKUP(A45,Categories!A:A, Categories!B:B, "Check Category", 0)</f>
        <v>Transport</v>
      </c>
      <c r="E45" s="7" t="str">
        <f t="array" ref="E45">_xlfn.XLOOKUP(A45, Categories!A:A, Categories!C:C, "Check subcategory", 0)</f>
        <v>Auto</v>
      </c>
    </row>
    <row r="46">
      <c r="A46" s="2" t="s">
        <v>93</v>
      </c>
      <c r="B46" s="16">
        <v>46187.0</v>
      </c>
      <c r="C46" s="2">
        <v>100.0</v>
      </c>
      <c r="D46" s="14" t="s">
        <v>90</v>
      </c>
      <c r="E46" s="14" t="s">
        <v>93</v>
      </c>
    </row>
    <row r="47">
      <c r="A47" s="2" t="s">
        <v>93</v>
      </c>
      <c r="B47" s="16">
        <v>46187.0</v>
      </c>
      <c r="C47" s="2">
        <v>430.0</v>
      </c>
      <c r="D47" s="14" t="s">
        <v>90</v>
      </c>
      <c r="E47" s="14" t="s">
        <v>93</v>
      </c>
    </row>
    <row r="48">
      <c r="A48" s="2" t="s">
        <v>214</v>
      </c>
      <c r="B48" s="16">
        <v>46187.0</v>
      </c>
      <c r="C48" s="2">
        <v>160.0</v>
      </c>
      <c r="D48" s="7" t="str">
        <f t="array" ref="D48">_xlfn.XLOOKUP(A48,Categories!A:A, Categories!B:B, "Check Category", 0)</f>
        <v>Temple</v>
      </c>
      <c r="E48" s="7" t="str">
        <f t="array" ref="E48">_xlfn.XLOOKUP(A48, Categories!A:A, Categories!C:C, "Check subcategory", 0)</f>
        <v>Pooja</v>
      </c>
    </row>
    <row r="49">
      <c r="A49" s="2" t="s">
        <v>33</v>
      </c>
      <c r="B49" s="16">
        <v>46187.0</v>
      </c>
      <c r="C49" s="2">
        <v>985.0</v>
      </c>
      <c r="D49" s="7" t="str">
        <f t="array" ref="D49">_xlfn.XLOOKUP(A49,Categories!A:A, Categories!B:B, "Check Category", 0)</f>
        <v>Medicine</v>
      </c>
      <c r="E49" s="7" t="str">
        <f t="array" ref="E49">_xlfn.XLOOKUP(A49, Categories!A:A, Categories!C:C, "Check subcategory", 0)</f>
        <v>Ravi</v>
      </c>
    </row>
    <row r="50">
      <c r="A50" s="2" t="s">
        <v>39</v>
      </c>
      <c r="B50" s="16">
        <v>46188.0</v>
      </c>
      <c r="C50" s="2">
        <v>900.0</v>
      </c>
      <c r="D50" s="7" t="str">
        <f t="array" ref="D50">_xlfn.XLOOKUP(A50,Categories!A:A, Categories!B:B, "Check Category", 0)</f>
        <v>Transport</v>
      </c>
      <c r="E50" s="7" t="str">
        <f t="array" ref="E50">_xlfn.XLOOKUP(A50, Categories!A:A, Categories!C:C, "Check subcategory", 0)</f>
        <v>Auto</v>
      </c>
    </row>
    <row r="51">
      <c r="A51" s="2" t="s">
        <v>93</v>
      </c>
      <c r="B51" s="16">
        <v>46188.0</v>
      </c>
      <c r="C51" s="2">
        <v>410.0</v>
      </c>
      <c r="D51" s="7" t="str">
        <f t="array" ref="D51">_xlfn.XLOOKUP(A51,Categories!A:A, Categories!B:B, "Check Category", 0)</f>
        <v>Onetime</v>
      </c>
      <c r="E51" s="7" t="str">
        <f t="array" ref="E51">_xlfn.XLOOKUP(A51, Categories!A:A, Categories!C:C, "Check subcategory", 0)</f>
        <v>Gift</v>
      </c>
    </row>
    <row r="52">
      <c r="A52" s="2" t="s">
        <v>17</v>
      </c>
      <c r="B52" s="16">
        <v>46188.0</v>
      </c>
      <c r="C52" s="2">
        <v>80.0</v>
      </c>
      <c r="D52" s="7" t="str">
        <f t="array" ref="D52">_xlfn.XLOOKUP(A52,Categories!A:A, Categories!B:B, "Check Category", 0)</f>
        <v>Medicine</v>
      </c>
      <c r="E52" s="7" t="str">
        <f t="array" ref="E52">_xlfn.XLOOKUP(A52, Categories!A:A, Categories!C:C, "Check subcategory", 0)</f>
        <v>Common</v>
      </c>
    </row>
    <row r="53">
      <c r="A53" s="2" t="s">
        <v>17</v>
      </c>
      <c r="B53" s="16">
        <v>46188.0</v>
      </c>
      <c r="C53" s="2">
        <v>224.0</v>
      </c>
      <c r="D53" s="7" t="str">
        <f t="array" ref="D53">_xlfn.XLOOKUP(A53,Categories!A:A, Categories!B:B, "Check Category", 0)</f>
        <v>Medicine</v>
      </c>
      <c r="E53" s="7" t="str">
        <f t="array" ref="E53">_xlfn.XLOOKUP(A53, Categories!A:A, Categories!C:C, "Check subcategory", 0)</f>
        <v>Common</v>
      </c>
    </row>
    <row r="54">
      <c r="A54" s="2" t="s">
        <v>13</v>
      </c>
      <c r="B54" s="16">
        <v>46189.0</v>
      </c>
      <c r="C54" s="2">
        <v>65.0</v>
      </c>
      <c r="D54" s="7" t="str">
        <f t="array" ref="D54">_xlfn.XLOOKUP(A54,Categories!A:A, Categories!B:B, "Check Category", 0)</f>
        <v>Temple</v>
      </c>
      <c r="E54" s="7" t="str">
        <f t="array" ref="E54">_xlfn.XLOOKUP(A54, Categories!A:A, Categories!C:C, "Check subcategory", 0)</f>
        <v>Donation</v>
      </c>
    </row>
    <row r="55">
      <c r="A55" s="2" t="s">
        <v>27</v>
      </c>
      <c r="B55" s="16">
        <v>46189.0</v>
      </c>
      <c r="C55" s="2">
        <v>85.0</v>
      </c>
      <c r="D55" s="7" t="str">
        <f t="array" ref="D55">_xlfn.XLOOKUP(A55,Categories!A:A, Categories!B:B, "Check Category", 0)</f>
        <v>Grocery</v>
      </c>
      <c r="E55" s="7" t="str">
        <f t="array" ref="E55">_xlfn.XLOOKUP(A55, Categories!A:A, Categories!C:C, "Check subcategory", 0)</f>
        <v>Fruits</v>
      </c>
    </row>
    <row r="56">
      <c r="A56" s="2" t="s">
        <v>27</v>
      </c>
      <c r="B56" s="16">
        <v>46190.0</v>
      </c>
      <c r="C56" s="2">
        <v>220.0</v>
      </c>
      <c r="D56" s="7" t="str">
        <f t="array" ref="D56">_xlfn.XLOOKUP(A56,Categories!A:A, Categories!B:B, "Check Category", 0)</f>
        <v>Grocery</v>
      </c>
      <c r="E56" s="7" t="str">
        <f t="array" ref="E56">_xlfn.XLOOKUP(A56, Categories!A:A, Categories!C:C, "Check subcategory", 0)</f>
        <v>Fruits</v>
      </c>
    </row>
    <row r="57">
      <c r="A57" s="2" t="s">
        <v>13</v>
      </c>
      <c r="B57" s="16">
        <v>46190.0</v>
      </c>
      <c r="C57" s="2">
        <v>20.0</v>
      </c>
      <c r="D57" s="7" t="str">
        <f t="array" ref="D57">_xlfn.XLOOKUP(A57,Categories!A:A, Categories!B:B, "Check Category", 0)</f>
        <v>Temple</v>
      </c>
      <c r="E57" s="7" t="str">
        <f t="array" ref="E57">_xlfn.XLOOKUP(A57, Categories!A:A, Categories!C:C, "Check subcategory", 0)</f>
        <v>Donation</v>
      </c>
    </row>
    <row r="58">
      <c r="A58" s="2" t="s">
        <v>39</v>
      </c>
      <c r="B58" s="16">
        <v>46191.0</v>
      </c>
      <c r="C58" s="2">
        <v>105.0</v>
      </c>
      <c r="D58" s="7" t="str">
        <f t="array" ref="D58">_xlfn.XLOOKUP(A58,Categories!A:A, Categories!B:B, "Check Category", 0)</f>
        <v>Transport</v>
      </c>
      <c r="E58" s="7" t="str">
        <f t="array" ref="E58">_xlfn.XLOOKUP(A58, Categories!A:A, Categories!C:C, "Check subcategory", 0)</f>
        <v>Auto</v>
      </c>
    </row>
    <row r="59">
      <c r="A59" s="2" t="s">
        <v>93</v>
      </c>
      <c r="B59" s="16">
        <v>46191.0</v>
      </c>
      <c r="C59" s="2">
        <v>415.0</v>
      </c>
      <c r="D59" s="7" t="str">
        <f t="array" ref="D59">_xlfn.XLOOKUP(A59,Categories!A:A, Categories!B:B, "Check Category", 0)</f>
        <v>Onetime</v>
      </c>
      <c r="E59" s="7" t="str">
        <f t="array" ref="E59">_xlfn.XLOOKUP(A59, Categories!A:A, Categories!C:C, "Check subcategory", 0)</f>
        <v>Gift</v>
      </c>
    </row>
    <row r="60">
      <c r="A60" s="2" t="s">
        <v>93</v>
      </c>
      <c r="B60" s="16">
        <v>46191.0</v>
      </c>
      <c r="C60" s="2">
        <v>150.0</v>
      </c>
      <c r="D60" s="7" t="str">
        <f t="array" ref="D60">_xlfn.XLOOKUP(A60,Categories!A:A, Categories!B:B, "Check Category", 0)</f>
        <v>Onetime</v>
      </c>
      <c r="E60" s="7" t="str">
        <f t="array" ref="E60">_xlfn.XLOOKUP(A60, Categories!A:A, Categories!C:C, "Check subcategory", 0)</f>
        <v>Gift</v>
      </c>
    </row>
    <row r="61">
      <c r="A61" s="2" t="s">
        <v>214</v>
      </c>
      <c r="B61" s="16">
        <v>46191.0</v>
      </c>
      <c r="C61" s="2">
        <v>120.0</v>
      </c>
      <c r="D61" s="7" t="str">
        <f t="array" ref="D61">_xlfn.XLOOKUP(A61,Categories!A:A, Categories!B:B, "Check Category", 0)</f>
        <v>Temple</v>
      </c>
      <c r="E61" s="7" t="str">
        <f t="array" ref="E61">_xlfn.XLOOKUP(A61, Categories!A:A, Categories!C:C, "Check subcategory", 0)</f>
        <v>Pooja</v>
      </c>
    </row>
    <row r="62">
      <c r="A62" s="2" t="s">
        <v>13</v>
      </c>
      <c r="B62" s="16">
        <v>46191.0</v>
      </c>
      <c r="C62" s="2">
        <v>30.0</v>
      </c>
      <c r="D62" s="7" t="str">
        <f t="array" ref="D62">_xlfn.XLOOKUP(A62,Categories!A:A, Categories!B:B, "Check Category", 0)</f>
        <v>Temple</v>
      </c>
      <c r="E62" s="7" t="str">
        <f t="array" ref="E62">_xlfn.XLOOKUP(A62, Categories!A:A, Categories!C:C, "Check subcategory", 0)</f>
        <v>Donation</v>
      </c>
    </row>
    <row r="63">
      <c r="A63" s="2" t="s">
        <v>64</v>
      </c>
      <c r="B63" s="16">
        <v>46191.0</v>
      </c>
      <c r="C63" s="2">
        <v>45.0</v>
      </c>
      <c r="D63" s="7" t="str">
        <f t="array" ref="D63">_xlfn.XLOOKUP(A63,Categories!A:A, Categories!B:B, "Check Category", 0)</f>
        <v>Provision</v>
      </c>
      <c r="E63" s="7" t="str">
        <f t="array" ref="E63">_xlfn.XLOOKUP(A63, Categories!A:A, Categories!C:C, "Check subcategory", 0)</f>
        <v>Snacks</v>
      </c>
    </row>
    <row r="64">
      <c r="A64" s="2" t="s">
        <v>93</v>
      </c>
      <c r="B64" s="16">
        <v>46192.0</v>
      </c>
      <c r="C64" s="2">
        <v>206.0</v>
      </c>
      <c r="D64" s="7" t="str">
        <f t="array" ref="D64">_xlfn.XLOOKUP(A64,Categories!A:A, Categories!B:B, "Check Category", 0)</f>
        <v>Onetime</v>
      </c>
      <c r="E64" s="7" t="str">
        <f t="array" ref="E64">_xlfn.XLOOKUP(A64, Categories!A:A, Categories!C:C, "Check subcategory", 0)</f>
        <v>Gift</v>
      </c>
    </row>
    <row r="65">
      <c r="A65" s="2" t="s">
        <v>39</v>
      </c>
      <c r="B65" s="16">
        <v>46192.0</v>
      </c>
      <c r="C65" s="2">
        <v>92.0</v>
      </c>
      <c r="D65" s="7" t="str">
        <f t="array" ref="D65">_xlfn.XLOOKUP(A65,Categories!A:A, Categories!B:B, "Check Category", 0)</f>
        <v>Transport</v>
      </c>
      <c r="E65" s="7" t="str">
        <f t="array" ref="E65">_xlfn.XLOOKUP(A65, Categories!A:A, Categories!C:C, "Check subcategory", 0)</f>
        <v>Auto</v>
      </c>
    </row>
    <row r="66">
      <c r="A66" s="2" t="s">
        <v>13</v>
      </c>
      <c r="B66" s="16">
        <v>46192.0</v>
      </c>
      <c r="C66" s="2">
        <v>30.0</v>
      </c>
      <c r="D66" s="7" t="str">
        <f t="array" ref="D66">_xlfn.XLOOKUP(A66,Categories!A:A, Categories!B:B, "Check Category", 0)</f>
        <v>Temple</v>
      </c>
      <c r="E66" s="7" t="str">
        <f t="array" ref="E66">_xlfn.XLOOKUP(A66, Categories!A:A, Categories!C:C, "Check subcategory", 0)</f>
        <v>Donation</v>
      </c>
    </row>
    <row r="67">
      <c r="A67" s="2" t="s">
        <v>214</v>
      </c>
      <c r="B67" s="16">
        <v>46192.0</v>
      </c>
      <c r="C67" s="2">
        <v>80.0</v>
      </c>
      <c r="D67" s="7" t="str">
        <f t="array" ref="D67">_xlfn.XLOOKUP(A67,Categories!A:A, Categories!B:B, "Check Category", 0)</f>
        <v>Temple</v>
      </c>
      <c r="E67" s="7" t="str">
        <f t="array" ref="E67">_xlfn.XLOOKUP(A67, Categories!A:A, Categories!C:C, "Check subcategory", 0)</f>
        <v>Pooja</v>
      </c>
    </row>
    <row r="68">
      <c r="A68" s="2" t="s">
        <v>13</v>
      </c>
      <c r="B68" s="16">
        <v>46192.0</v>
      </c>
      <c r="C68" s="2">
        <v>60.0</v>
      </c>
      <c r="D68" s="7" t="str">
        <f t="array" ref="D68">_xlfn.XLOOKUP(A68,Categories!A:A, Categories!B:B, "Check Category", 0)</f>
        <v>Temple</v>
      </c>
      <c r="E68" s="7" t="str">
        <f t="array" ref="E68">_xlfn.XLOOKUP(A68, Categories!A:A, Categories!C:C, "Check subcategory", 0)</f>
        <v>Donation</v>
      </c>
    </row>
    <row r="69">
      <c r="A69" s="2" t="s">
        <v>13</v>
      </c>
      <c r="B69" s="16">
        <v>46192.0</v>
      </c>
      <c r="C69" s="2">
        <v>60.0</v>
      </c>
      <c r="D69" s="7" t="str">
        <f t="array" ref="D69">_xlfn.XLOOKUP(A69,Categories!A:A, Categories!B:B, "Check Category", 0)</f>
        <v>Temple</v>
      </c>
      <c r="E69" s="7" t="str">
        <f t="array" ref="E69">_xlfn.XLOOKUP(A69, Categories!A:A, Categories!C:C, "Check subcategory", 0)</f>
        <v>Donation</v>
      </c>
    </row>
    <row r="70">
      <c r="A70" s="2" t="s">
        <v>64</v>
      </c>
      <c r="B70" s="16">
        <v>46193.0</v>
      </c>
      <c r="C70" s="2">
        <v>180.0</v>
      </c>
      <c r="D70" s="7" t="str">
        <f t="array" ref="D70">_xlfn.XLOOKUP(A70,Categories!A:A, Categories!B:B, "Check Category", 0)</f>
        <v>Provision</v>
      </c>
      <c r="E70" s="7" t="str">
        <f t="array" ref="E70">_xlfn.XLOOKUP(A70, Categories!A:A, Categories!C:C, "Check subcategory", 0)</f>
        <v>Snacks</v>
      </c>
    </row>
    <row r="71">
      <c r="A71" s="2" t="s">
        <v>39</v>
      </c>
      <c r="B71" s="16">
        <v>46193.0</v>
      </c>
      <c r="C71" s="2">
        <v>200.0</v>
      </c>
      <c r="D71" s="7" t="str">
        <f t="array" ref="D71">_xlfn.XLOOKUP(A71,Categories!A:A, Categories!B:B, "Check Category", 0)</f>
        <v>Transport</v>
      </c>
      <c r="E71" s="7" t="str">
        <f t="array" ref="E71">_xlfn.XLOOKUP(A71, Categories!A:A, Categories!C:C, "Check subcategory", 0)</f>
        <v>Auto</v>
      </c>
    </row>
    <row r="72">
      <c r="A72" s="2" t="s">
        <v>95</v>
      </c>
      <c r="B72" s="16">
        <v>46193.0</v>
      </c>
      <c r="C72" s="2">
        <v>38.0</v>
      </c>
      <c r="D72" s="7" t="str">
        <f t="array" ref="D72">_xlfn.XLOOKUP(A72,Categories!A:A, Categories!B:B, "Check Category", 0)</f>
        <v>Personal</v>
      </c>
      <c r="E72" s="7" t="str">
        <f t="array" ref="E72">_xlfn.XLOOKUP(A72, Categories!A:A, Categories!C:C, "Check subcategory", 0)</f>
        <v>Ravi</v>
      </c>
    </row>
    <row r="73">
      <c r="A73" s="2" t="s">
        <v>10</v>
      </c>
      <c r="B73" s="16">
        <v>46195.0</v>
      </c>
      <c r="C73" s="2">
        <v>32.0</v>
      </c>
      <c r="D73" s="7" t="str">
        <f t="array" ref="D73">_xlfn.XLOOKUP(A73,Categories!A:A, Categories!B:B, "Check Category", 0)</f>
        <v>Transport</v>
      </c>
      <c r="E73" s="7" t="str">
        <f t="array" ref="E73">_xlfn.XLOOKUP(A73, Categories!A:A, Categories!C:C, "Check subcategory", 0)</f>
        <v>Bus</v>
      </c>
    </row>
    <row r="74">
      <c r="A74" s="2" t="s">
        <v>99</v>
      </c>
      <c r="B74" s="16">
        <v>46195.0</v>
      </c>
      <c r="C74" s="2">
        <v>1100.0</v>
      </c>
      <c r="D74" s="7" t="str">
        <f t="array" ref="D74">_xlfn.XLOOKUP(A74,Categories!A:A, Categories!B:B, "Check Category", 0)</f>
        <v>Medicine</v>
      </c>
      <c r="E74" s="7" t="str">
        <f t="array" ref="E74">_xlfn.XLOOKUP(A74, Categories!A:A, Categories!C:C, "Check subcategory", 0)</f>
        <v>Ravi</v>
      </c>
    </row>
    <row r="75">
      <c r="A75" s="2" t="s">
        <v>10</v>
      </c>
      <c r="B75" s="16">
        <v>46195.0</v>
      </c>
      <c r="C75" s="2">
        <v>30.0</v>
      </c>
      <c r="D75" s="7" t="str">
        <f t="array" ref="D75">_xlfn.XLOOKUP(A75,Categories!A:A, Categories!B:B, "Check Category", 0)</f>
        <v>Transport</v>
      </c>
      <c r="E75" s="7" t="str">
        <f t="array" ref="E75">_xlfn.XLOOKUP(A75, Categories!A:A, Categories!C:C, "Check subcategory", 0)</f>
        <v>Bus</v>
      </c>
    </row>
    <row r="76">
      <c r="A76" s="2" t="s">
        <v>10</v>
      </c>
      <c r="B76" s="16">
        <v>46196.0</v>
      </c>
      <c r="C76" s="2">
        <v>34.0</v>
      </c>
      <c r="D76" s="7" t="str">
        <f t="array" ref="D76">_xlfn.XLOOKUP(A76,Categories!A:A, Categories!B:B, "Check Category", 0)</f>
        <v>Transport</v>
      </c>
      <c r="E76" s="7" t="str">
        <f t="array" ref="E76">_xlfn.XLOOKUP(A76, Categories!A:A, Categories!C:C, "Check subcategory", 0)</f>
        <v>Bus</v>
      </c>
    </row>
    <row r="77">
      <c r="A77" s="2" t="s">
        <v>39</v>
      </c>
      <c r="B77" s="16">
        <v>46196.0</v>
      </c>
      <c r="C77" s="2">
        <v>80.0</v>
      </c>
      <c r="D77" s="7" t="str">
        <f t="array" ref="D77">_xlfn.XLOOKUP(A77,Categories!A:A, Categories!B:B, "Check Category", 0)</f>
        <v>Transport</v>
      </c>
      <c r="E77" s="7" t="str">
        <f t="array" ref="E77">_xlfn.XLOOKUP(A77, Categories!A:A, Categories!C:C, "Check subcategory", 0)</f>
        <v>Auto</v>
      </c>
    </row>
    <row r="78">
      <c r="A78" s="2" t="s">
        <v>46</v>
      </c>
      <c r="B78" s="16">
        <v>46196.0</v>
      </c>
      <c r="C78" s="2">
        <v>500.0</v>
      </c>
      <c r="D78" s="7" t="str">
        <f t="array" ref="D78">_xlfn.XLOOKUP(A78,Categories!A:A, Categories!B:B, "Check Category", 0)</f>
        <v>Hospital</v>
      </c>
      <c r="E78" s="7" t="str">
        <f t="array" ref="E78">_xlfn.XLOOKUP(A78, Categories!A:A, Categories!C:C, "Check subcategory", 0)</f>
        <v>Ravi</v>
      </c>
    </row>
    <row r="79">
      <c r="A79" s="2" t="s">
        <v>46</v>
      </c>
      <c r="B79" s="16">
        <v>46196.0</v>
      </c>
      <c r="C79" s="2">
        <v>180.0</v>
      </c>
      <c r="D79" s="7" t="str">
        <f t="array" ref="D79">_xlfn.XLOOKUP(A79,Categories!A:A, Categories!B:B, "Check Category", 0)</f>
        <v>Hospital</v>
      </c>
      <c r="E79" s="7" t="str">
        <f t="array" ref="E79">_xlfn.XLOOKUP(A79, Categories!A:A, Categories!C:C, "Check subcategory", 0)</f>
        <v>Ravi</v>
      </c>
    </row>
    <row r="80">
      <c r="A80" s="2" t="s">
        <v>65</v>
      </c>
      <c r="B80" s="16">
        <v>46196.0</v>
      </c>
      <c r="C80" s="2">
        <v>200.0</v>
      </c>
      <c r="D80" s="7" t="str">
        <f t="array" ref="D80">_xlfn.XLOOKUP(A80,Categories!A:A, Categories!B:B, "Check Category", 0)</f>
        <v>Food</v>
      </c>
      <c r="E80" s="7" t="str">
        <f t="array" ref="E80">_xlfn.XLOOKUP(A80, Categories!A:A, Categories!C:C, "Check subcategory", 0)</f>
        <v>Outside</v>
      </c>
    </row>
    <row r="81">
      <c r="A81" s="2" t="s">
        <v>39</v>
      </c>
      <c r="B81" s="16">
        <v>46196.0</v>
      </c>
      <c r="C81" s="2">
        <v>50.0</v>
      </c>
      <c r="D81" s="7" t="str">
        <f t="array" ref="D81">_xlfn.XLOOKUP(A81,Categories!A:A, Categories!B:B, "Check Category", 0)</f>
        <v>Transport</v>
      </c>
      <c r="E81" s="7" t="str">
        <f t="array" ref="E81">_xlfn.XLOOKUP(A81, Categories!A:A, Categories!C:C, "Check subcategory", 0)</f>
        <v>Auto</v>
      </c>
    </row>
    <row r="82">
      <c r="A82" s="2" t="s">
        <v>10</v>
      </c>
      <c r="B82" s="16">
        <v>46196.0</v>
      </c>
      <c r="C82" s="2">
        <v>46.0</v>
      </c>
      <c r="D82" s="7" t="str">
        <f t="array" ref="D82">_xlfn.XLOOKUP(A82,Categories!A:A, Categories!B:B, "Check Category", 0)</f>
        <v>Transport</v>
      </c>
      <c r="E82" s="7" t="str">
        <f t="array" ref="E82">_xlfn.XLOOKUP(A82, Categories!A:A, Categories!C:C, "Check subcategory", 0)</f>
        <v>Bus</v>
      </c>
    </row>
    <row r="83">
      <c r="A83" s="2" t="s">
        <v>10</v>
      </c>
      <c r="B83" s="16">
        <v>46196.0</v>
      </c>
      <c r="C83" s="2">
        <v>26.0</v>
      </c>
      <c r="D83" s="7" t="str">
        <f t="array" ref="D83">_xlfn.XLOOKUP(A83,Categories!A:A, Categories!B:B, "Check Category", 0)</f>
        <v>Transport</v>
      </c>
      <c r="E83" s="7" t="str">
        <f t="array" ref="E83">_xlfn.XLOOKUP(A83, Categories!A:A, Categories!C:C, "Check subcategory", 0)</f>
        <v>Bus</v>
      </c>
    </row>
    <row r="84">
      <c r="A84" s="2" t="s">
        <v>10</v>
      </c>
      <c r="B84" s="16">
        <v>46197.0</v>
      </c>
      <c r="C84" s="2">
        <v>52.0</v>
      </c>
      <c r="D84" s="7" t="str">
        <f t="array" ref="D84">_xlfn.XLOOKUP(A84,Categories!A:A, Categories!B:B, "Check Category", 0)</f>
        <v>Transport</v>
      </c>
      <c r="E84" s="7" t="str">
        <f t="array" ref="E84">_xlfn.XLOOKUP(A84, Categories!A:A, Categories!C:C, "Check subcategory", 0)</f>
        <v>Bus</v>
      </c>
    </row>
    <row r="85">
      <c r="A85" s="2" t="s">
        <v>25</v>
      </c>
      <c r="B85" s="16">
        <v>46197.0</v>
      </c>
      <c r="C85" s="2">
        <v>928.0</v>
      </c>
      <c r="D85" s="7" t="str">
        <f t="array" ref="D85">_xlfn.XLOOKUP(A85,Categories!A:A, Categories!B:B, "Check Category", 0)</f>
        <v>Provision</v>
      </c>
      <c r="E85" s="7" t="str">
        <f t="array" ref="E85">_xlfn.XLOOKUP(A85, Categories!A:A, Categories!C:C, "Check subcategory", 0)</f>
        <v>Provision</v>
      </c>
    </row>
    <row r="86">
      <c r="A86" s="2" t="s">
        <v>33</v>
      </c>
      <c r="B86" s="16">
        <v>46197.0</v>
      </c>
      <c r="C86" s="2">
        <v>375.0</v>
      </c>
      <c r="D86" s="7" t="str">
        <f t="array" ref="D86">_xlfn.XLOOKUP(A86,Categories!A:A, Categories!B:B, "Check Category", 0)</f>
        <v>Medicine</v>
      </c>
      <c r="E86" s="7" t="str">
        <f t="array" ref="E86">_xlfn.XLOOKUP(A86, Categories!A:A, Categories!C:C, "Check subcategory", 0)</f>
        <v>Ravi</v>
      </c>
    </row>
    <row r="87">
      <c r="A87" s="2" t="s">
        <v>38</v>
      </c>
      <c r="B87" s="16">
        <v>46197.0</v>
      </c>
      <c r="C87" s="2">
        <v>184.0</v>
      </c>
      <c r="D87" s="7" t="str">
        <f t="array" ref="D87">_xlfn.XLOOKUP(A87,Categories!A:A, Categories!B:B, "Check Category", 0)</f>
        <v>Medicine</v>
      </c>
      <c r="E87" s="7" t="str">
        <f t="array" ref="E87">_xlfn.XLOOKUP(A87, Categories!A:A, Categories!C:C, "Check subcategory", 0)</f>
        <v>Prabha</v>
      </c>
    </row>
    <row r="88">
      <c r="A88" s="2" t="s">
        <v>39</v>
      </c>
      <c r="B88" s="16">
        <v>46197.0</v>
      </c>
      <c r="C88" s="2">
        <v>500.0</v>
      </c>
      <c r="D88" s="7" t="str">
        <f t="array" ref="D88">_xlfn.XLOOKUP(A88,Categories!A:A, Categories!B:B, "Check Category", 0)</f>
        <v>Transport</v>
      </c>
      <c r="E88" s="7" t="str">
        <f t="array" ref="E88">_xlfn.XLOOKUP(A88, Categories!A:A, Categories!C:C, "Check subcategory", 0)</f>
        <v>Auto</v>
      </c>
    </row>
    <row r="89">
      <c r="A89" s="2" t="s">
        <v>33</v>
      </c>
      <c r="B89" s="16">
        <v>46198.0</v>
      </c>
      <c r="C89" s="2">
        <v>2036.0</v>
      </c>
      <c r="D89" s="7" t="str">
        <f t="array" ref="D89">_xlfn.XLOOKUP(A89,Categories!A:A, Categories!B:B, "Check Category", 0)</f>
        <v>Medicine</v>
      </c>
      <c r="E89" s="7" t="str">
        <f t="array" ref="E89">_xlfn.XLOOKUP(A89, Categories!A:A, Categories!C:C, "Check subcategory", 0)</f>
        <v>Ravi</v>
      </c>
    </row>
    <row r="90">
      <c r="A90" s="2" t="s">
        <v>39</v>
      </c>
      <c r="B90" s="16">
        <v>46186.0</v>
      </c>
      <c r="C90" s="2">
        <v>200.0</v>
      </c>
      <c r="D90" s="7" t="str">
        <f t="array" ref="D90">_xlfn.XLOOKUP(A90,Categories!A:A, Categories!B:B, "Check Category", 0)</f>
        <v>Transport</v>
      </c>
      <c r="E90" s="7" t="str">
        <f t="array" ref="E90">_xlfn.XLOOKUP(A90, Categories!A:A, Categories!C:C, "Check subcategory", 0)</f>
        <v>Auto</v>
      </c>
    </row>
    <row r="91">
      <c r="A91" s="2" t="s">
        <v>93</v>
      </c>
      <c r="B91" s="16">
        <v>46186.0</v>
      </c>
      <c r="C91" s="2">
        <v>1583.0</v>
      </c>
      <c r="D91" s="7" t="str">
        <f t="array" ref="D91">_xlfn.XLOOKUP(A91,Categories!A:A, Categories!B:B, "Check Category", 0)</f>
        <v>Onetime</v>
      </c>
      <c r="E91" s="7" t="str">
        <f t="array" ref="E91">_xlfn.XLOOKUP(A91, Categories!A:A, Categories!C:C, "Check subcategory", 0)</f>
        <v>Gift</v>
      </c>
    </row>
    <row r="92">
      <c r="A92" s="2" t="s">
        <v>39</v>
      </c>
      <c r="B92" s="16">
        <v>46186.0</v>
      </c>
      <c r="C92" s="2">
        <v>275.0</v>
      </c>
      <c r="D92" s="7" t="str">
        <f t="array" ref="D92">_xlfn.XLOOKUP(A92,Categories!A:A, Categories!B:B, "Check Category", 0)</f>
        <v>Transport</v>
      </c>
      <c r="E92" s="7" t="str">
        <f t="array" ref="E92">_xlfn.XLOOKUP(A92, Categories!A:A, Categories!C:C, "Check subcategory", 0)</f>
        <v>Auto</v>
      </c>
    </row>
    <row r="93">
      <c r="A93" s="2" t="s">
        <v>64</v>
      </c>
      <c r="B93" s="16">
        <v>46198.0</v>
      </c>
      <c r="C93" s="2">
        <v>120.0</v>
      </c>
      <c r="D93" s="7" t="str">
        <f t="array" ref="D93">_xlfn.XLOOKUP(A93,Categories!A:A, Categories!B:B, "Check Category", 0)</f>
        <v>Provision</v>
      </c>
      <c r="E93" s="7" t="str">
        <f t="array" ref="E93">_xlfn.XLOOKUP(A93, Categories!A:A, Categories!C:C, "Check subcategory", 0)</f>
        <v>Snacks</v>
      </c>
    </row>
    <row r="94">
      <c r="A94" s="2" t="s">
        <v>20</v>
      </c>
      <c r="B94" s="16">
        <v>46198.0</v>
      </c>
      <c r="C94" s="2">
        <v>100.0</v>
      </c>
      <c r="D94" s="7" t="str">
        <f t="array" ref="D94">_xlfn.XLOOKUP(A94,Categories!A:A, Categories!B:B, "Check Category", 0)</f>
        <v>House</v>
      </c>
      <c r="E94" s="7" t="str">
        <f t="array" ref="E94">_xlfn.XLOOKUP(A94, Categories!A:A, Categories!C:C, "Check subcategory", 0)</f>
        <v>EB</v>
      </c>
    </row>
    <row r="95">
      <c r="A95" s="2" t="s">
        <v>10</v>
      </c>
      <c r="B95" s="16">
        <v>46199.0</v>
      </c>
      <c r="C95" s="2">
        <v>10.0</v>
      </c>
      <c r="D95" s="7" t="str">
        <f t="array" ref="D95">_xlfn.XLOOKUP(A95,Categories!A:A, Categories!B:B, "Check Category", 0)</f>
        <v>Transport</v>
      </c>
      <c r="E95" s="7" t="str">
        <f t="array" ref="E95">_xlfn.XLOOKUP(A95, Categories!A:A, Categories!C:C, "Check subcategory", 0)</f>
        <v>Bus</v>
      </c>
    </row>
    <row r="96">
      <c r="A96" s="2" t="s">
        <v>214</v>
      </c>
      <c r="B96" s="16">
        <v>46199.0</v>
      </c>
      <c r="C96" s="2">
        <v>40.0</v>
      </c>
      <c r="D96" s="7" t="str">
        <f t="array" ref="D96">_xlfn.XLOOKUP(A96,Categories!A:A, Categories!B:B, "Check Category", 0)</f>
        <v>Temple</v>
      </c>
      <c r="E96" s="7" t="str">
        <f t="array" ref="E96">_xlfn.XLOOKUP(A96, Categories!A:A, Categories!C:C, "Check subcategory", 0)</f>
        <v>Pooja</v>
      </c>
    </row>
    <row r="97">
      <c r="A97" s="2" t="s">
        <v>13</v>
      </c>
      <c r="B97" s="16">
        <v>46199.0</v>
      </c>
      <c r="C97" s="2">
        <v>10.0</v>
      </c>
      <c r="D97" s="7" t="str">
        <f t="array" ref="D97">_xlfn.XLOOKUP(A97,Categories!A:A, Categories!B:B, "Check Category", 0)</f>
        <v>Temple</v>
      </c>
      <c r="E97" s="7" t="str">
        <f t="array" ref="E97">_xlfn.XLOOKUP(A97, Categories!A:A, Categories!C:C, "Check subcategory", 0)</f>
        <v>Donation</v>
      </c>
    </row>
    <row r="98">
      <c r="A98" s="2" t="s">
        <v>10</v>
      </c>
      <c r="B98" s="16">
        <v>46199.0</v>
      </c>
      <c r="C98" s="2">
        <v>10.0</v>
      </c>
      <c r="D98" s="7" t="str">
        <f t="array" ref="D98">_xlfn.XLOOKUP(A98,Categories!A:A, Categories!B:B, "Check Category", 0)</f>
        <v>Transport</v>
      </c>
      <c r="E98" s="7" t="str">
        <f t="array" ref="E98">_xlfn.XLOOKUP(A98, Categories!A:A, Categories!C:C, "Check subcategory", 0)</f>
        <v>Bus</v>
      </c>
    </row>
    <row r="99">
      <c r="A99" s="2" t="s">
        <v>25</v>
      </c>
      <c r="B99" s="16">
        <v>46199.0</v>
      </c>
      <c r="C99" s="2">
        <v>139.0</v>
      </c>
      <c r="D99" s="7" t="str">
        <f t="array" ref="D99">_xlfn.XLOOKUP(A99,Categories!A:A, Categories!B:B, "Check Category", 0)</f>
        <v>Provision</v>
      </c>
      <c r="E99" s="7" t="str">
        <f t="array" ref="E99">_xlfn.XLOOKUP(A99, Categories!A:A, Categories!C:C, "Check subcategory", 0)</f>
        <v>Provision</v>
      </c>
    </row>
    <row r="100">
      <c r="A100" s="2" t="s">
        <v>27</v>
      </c>
      <c r="B100" s="16">
        <v>46199.0</v>
      </c>
      <c r="C100" s="2">
        <v>40.0</v>
      </c>
      <c r="D100" s="7" t="str">
        <f t="array" ref="D100">_xlfn.XLOOKUP(A100,Categories!A:A, Categories!B:B, "Check Category", 0)</f>
        <v>Grocery</v>
      </c>
      <c r="E100" s="7" t="str">
        <f t="array" ref="E100">_xlfn.XLOOKUP(A100, Categories!A:A, Categories!C:C, "Check subcategory", 0)</f>
        <v>Fruits</v>
      </c>
    </row>
    <row r="101">
      <c r="A101" s="2" t="s">
        <v>134</v>
      </c>
      <c r="B101" s="16">
        <v>46199.0</v>
      </c>
      <c r="C101" s="2">
        <v>700.0</v>
      </c>
      <c r="D101" s="14" t="s">
        <v>90</v>
      </c>
      <c r="E101" s="14" t="s">
        <v>134</v>
      </c>
    </row>
    <row r="102">
      <c r="A102" s="2" t="s">
        <v>39</v>
      </c>
      <c r="B102" s="16">
        <v>46199.0</v>
      </c>
      <c r="C102" s="2">
        <v>345.0</v>
      </c>
      <c r="D102" s="7" t="str">
        <f t="array" ref="D102">_xlfn.XLOOKUP(A102,Categories!A:A, Categories!B:B, "Check Category", 0)</f>
        <v>Transport</v>
      </c>
      <c r="E102" s="7" t="str">
        <f t="array" ref="E102">_xlfn.XLOOKUP(A102, Categories!A:A, Categories!C:C, "Check subcategory", 0)</f>
        <v>Auto</v>
      </c>
    </row>
    <row r="103">
      <c r="A103" s="2" t="s">
        <v>10</v>
      </c>
      <c r="B103" s="16">
        <v>46199.0</v>
      </c>
      <c r="C103" s="2">
        <v>23.0</v>
      </c>
      <c r="D103" s="7" t="str">
        <f t="array" ref="D103">_xlfn.XLOOKUP(A103,Categories!A:A, Categories!B:B, "Check Category", 0)</f>
        <v>Transport</v>
      </c>
      <c r="E103" s="7" t="str">
        <f t="array" ref="E103">_xlfn.XLOOKUP(A103, Categories!A:A, Categories!C:C, "Check subcategory", 0)</f>
        <v>Bus</v>
      </c>
    </row>
    <row r="104">
      <c r="A104" s="2" t="s">
        <v>87</v>
      </c>
      <c r="B104" s="16">
        <v>46199.0</v>
      </c>
      <c r="C104" s="2">
        <v>490.0</v>
      </c>
      <c r="D104" s="7" t="str">
        <f t="array" ref="D104">_xlfn.XLOOKUP(A104,Categories!A:A, Categories!B:B, "Check Category", 0)</f>
        <v>Provision</v>
      </c>
      <c r="E104" s="7" t="str">
        <f t="array" ref="E104">_xlfn.XLOOKUP(A104, Categories!A:A, Categories!C:C, "Check subcategory", 0)</f>
        <v>Oil</v>
      </c>
    </row>
    <row r="105">
      <c r="A105" s="2" t="s">
        <v>10</v>
      </c>
      <c r="B105" s="16">
        <v>46200.0</v>
      </c>
      <c r="C105" s="2">
        <v>10.0</v>
      </c>
      <c r="D105" s="7" t="str">
        <f t="array" ref="D105">_xlfn.XLOOKUP(A105,Categories!A:A, Categories!B:B, "Check Category", 0)</f>
        <v>Transport</v>
      </c>
      <c r="E105" s="7" t="str">
        <f t="array" ref="E105">_xlfn.XLOOKUP(A105, Categories!A:A, Categories!C:C, "Check subcategory", 0)</f>
        <v>Bus</v>
      </c>
    </row>
    <row r="106">
      <c r="A106" s="2" t="s">
        <v>39</v>
      </c>
      <c r="B106" s="16">
        <v>46200.0</v>
      </c>
      <c r="C106" s="2">
        <v>50.0</v>
      </c>
      <c r="D106" s="7" t="str">
        <f t="array" ref="D106">_xlfn.XLOOKUP(A106,Categories!A:A, Categories!B:B, "Check Category", 0)</f>
        <v>Transport</v>
      </c>
      <c r="E106" s="7" t="str">
        <f t="array" ref="E106">_xlfn.XLOOKUP(A106, Categories!A:A, Categories!C:C, "Check subcategory", 0)</f>
        <v>Auto</v>
      </c>
    </row>
    <row r="107">
      <c r="A107" s="2" t="s">
        <v>78</v>
      </c>
      <c r="B107" s="16">
        <v>46200.0</v>
      </c>
      <c r="C107" s="2">
        <v>30.0</v>
      </c>
      <c r="D107" s="7" t="str">
        <f t="array" ref="D107">_xlfn.XLOOKUP(A107,Categories!A:A, Categories!B:B, "Check Category", 0)</f>
        <v>Grocery</v>
      </c>
      <c r="E107" s="7" t="str">
        <f t="array" ref="E107">_xlfn.XLOOKUP(A107, Categories!A:A, Categories!C:C, "Check subcategory", 0)</f>
        <v>Readymade</v>
      </c>
    </row>
    <row r="108">
      <c r="A108" s="2" t="s">
        <v>23</v>
      </c>
      <c r="B108" s="16">
        <v>46200.0</v>
      </c>
      <c r="C108" s="2">
        <v>760.0</v>
      </c>
      <c r="D108" s="7" t="str">
        <f t="array" ref="D108">_xlfn.XLOOKUP(A108,Categories!A:A, Categories!B:B, "Check Category", 0)</f>
        <v>Grocery</v>
      </c>
      <c r="E108" s="7" t="str">
        <f t="array" ref="E108">_xlfn.XLOOKUP(A108, Categories!A:A, Categories!C:C, "Check subcategory", 0)</f>
        <v>Vegetables</v>
      </c>
    </row>
    <row r="109">
      <c r="A109" s="2" t="s">
        <v>64</v>
      </c>
      <c r="B109" s="16">
        <v>46200.0</v>
      </c>
      <c r="C109" s="2">
        <v>30.0</v>
      </c>
      <c r="D109" s="7" t="str">
        <f t="array" ref="D109">_xlfn.XLOOKUP(A109,Categories!A:A, Categories!B:B, "Check Category", 0)</f>
        <v>Provision</v>
      </c>
      <c r="E109" s="7" t="str">
        <f t="array" ref="E109">_xlfn.XLOOKUP(A109, Categories!A:A, Categories!C:C, "Check subcategory", 0)</f>
        <v>Snacks</v>
      </c>
    </row>
    <row r="110">
      <c r="A110" s="2" t="s">
        <v>8</v>
      </c>
      <c r="B110" s="16">
        <v>46201.0</v>
      </c>
      <c r="C110" s="2">
        <v>50.0</v>
      </c>
      <c r="D110" s="7" t="str">
        <f t="array" ref="D110">_xlfn.XLOOKUP(A110,Categories!A:A, Categories!B:B, "Check Category", 0)</f>
        <v>House</v>
      </c>
      <c r="E110" s="7" t="str">
        <f t="array" ref="E110">_xlfn.XLOOKUP(A110, Categories!A:A, Categories!C:C, "Check subcategory", 0)</f>
        <v>Newspaper</v>
      </c>
    </row>
    <row r="111">
      <c r="A111" s="2" t="s">
        <v>93</v>
      </c>
      <c r="B111" s="16">
        <v>46202.0</v>
      </c>
      <c r="C111" s="2">
        <v>1000.0</v>
      </c>
      <c r="D111" s="7" t="str">
        <f t="array" ref="D111">_xlfn.XLOOKUP(A111,Categories!A:A, Categories!B:B, "Check Category", 0)</f>
        <v>Onetime</v>
      </c>
      <c r="E111" s="7" t="str">
        <f t="array" ref="E111">_xlfn.XLOOKUP(A111, Categories!A:A, Categories!C:C, "Check subcategory", 0)</f>
        <v>Gift</v>
      </c>
    </row>
    <row r="112">
      <c r="A112" s="2" t="s">
        <v>25</v>
      </c>
      <c r="B112" s="16">
        <v>46202.0</v>
      </c>
      <c r="C112" s="2">
        <v>139.0</v>
      </c>
      <c r="D112" s="7" t="str">
        <f t="array" ref="D112">_xlfn.XLOOKUP(A112,Categories!A:A, Categories!B:B, "Check Category", 0)</f>
        <v>Provision</v>
      </c>
      <c r="E112" s="7" t="str">
        <f t="array" ref="E112">_xlfn.XLOOKUP(A112, Categories!A:A, Categories!C:C, "Check subcategory", 0)</f>
        <v>Provision</v>
      </c>
    </row>
    <row r="113">
      <c r="A113" s="2" t="s">
        <v>39</v>
      </c>
      <c r="B113" s="16">
        <v>46202.0</v>
      </c>
      <c r="C113" s="2">
        <v>275.0</v>
      </c>
      <c r="D113" s="7" t="str">
        <f t="array" ref="D113">_xlfn.XLOOKUP(A113,Categories!A:A, Categories!B:B, "Check Category", 0)</f>
        <v>Transport</v>
      </c>
      <c r="E113" s="7" t="str">
        <f t="array" ref="E113">_xlfn.XLOOKUP(A113, Categories!A:A, Categories!C:C, "Check subcategory", 0)</f>
        <v>Auto</v>
      </c>
    </row>
    <row r="114">
      <c r="A114" s="2" t="s">
        <v>78</v>
      </c>
      <c r="B114" s="16">
        <v>46202.0</v>
      </c>
      <c r="C114" s="2">
        <v>60.0</v>
      </c>
      <c r="D114" s="7" t="str">
        <f t="array" ref="D114">_xlfn.XLOOKUP(A114,Categories!A:A, Categories!B:B, "Check Category", 0)</f>
        <v>Grocery</v>
      </c>
      <c r="E114" s="7" t="str">
        <f t="array" ref="E114">_xlfn.XLOOKUP(A114, Categories!A:A, Categories!C:C, "Check subcategory", 0)</f>
        <v>Readymade</v>
      </c>
    </row>
    <row r="115">
      <c r="A115" s="2" t="s">
        <v>10</v>
      </c>
      <c r="B115" s="16">
        <v>46202.0</v>
      </c>
      <c r="C115" s="2">
        <v>101.0</v>
      </c>
      <c r="D115" s="7" t="str">
        <f t="array" ref="D115">_xlfn.XLOOKUP(A115,Categories!A:A, Categories!B:B, "Check Category", 0)</f>
        <v>Transport</v>
      </c>
      <c r="E115" s="7" t="str">
        <f t="array" ref="E115">_xlfn.XLOOKUP(A115, Categories!A:A, Categories!C:C, "Check subcategory", 0)</f>
        <v>Bus</v>
      </c>
    </row>
    <row r="116">
      <c r="B116" s="2" t="s">
        <v>235</v>
      </c>
      <c r="C116" s="13">
        <f>SUM(C2:C115)</f>
        <v>36354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4" max="4" width="13.0"/>
    <col customWidth="1" min="5" max="5" width="15.25"/>
    <col customWidth="1" min="18" max="18" width="18.5"/>
  </cols>
  <sheetData>
    <row r="1">
      <c r="A1" s="1" t="s">
        <v>0</v>
      </c>
      <c r="B1" s="4" t="s">
        <v>1</v>
      </c>
      <c r="C1" s="1" t="s">
        <v>4</v>
      </c>
      <c r="D1" s="1" t="s">
        <v>2</v>
      </c>
      <c r="E1" s="1" t="s">
        <v>3</v>
      </c>
    </row>
    <row r="2">
      <c r="A2" s="7" t="s">
        <v>5</v>
      </c>
      <c r="B2" s="16">
        <v>46204.0</v>
      </c>
      <c r="C2" s="10">
        <v>20.0</v>
      </c>
      <c r="D2" s="7" t="str">
        <f t="array" ref="D2">_xlfn.XLOOKUP(A2, Categories!A:A, Categories!B:B, "Check Category", 0)</f>
        <v>Check Category</v>
      </c>
      <c r="E2" s="7" t="str">
        <f t="array" ref="E2">_xlfn.XLOOKUP(A2, Categories!A:A, Categories!C:C, "Check subcategory", 0)</f>
        <v>Check subcategory</v>
      </c>
    </row>
    <row r="3">
      <c r="A3" s="14" t="s">
        <v>27</v>
      </c>
      <c r="B3" s="16">
        <v>46204.0</v>
      </c>
      <c r="C3" s="15">
        <v>130.0</v>
      </c>
      <c r="D3" s="7" t="str">
        <f t="array" ref="D3">_xlfn.XLOOKUP(A3, Categories!A:A, Categories!B:B, "Check Category", 0)</f>
        <v>Grocery</v>
      </c>
      <c r="E3" s="7" t="str">
        <f t="array" ref="E3">_xlfn.XLOOKUP(A3, Categories!A:A, Categories!C:C, "Check subcategory", 0)</f>
        <v>Fruits</v>
      </c>
    </row>
    <row r="4">
      <c r="A4" s="2" t="s">
        <v>64</v>
      </c>
      <c r="B4" s="16">
        <v>46204.0</v>
      </c>
      <c r="C4" s="2">
        <v>100.0</v>
      </c>
      <c r="D4" s="7" t="str">
        <f t="array" ref="D4">_xlfn.XLOOKUP(A4, Categories!A:A, Categories!B:B, "Check Category", 0)</f>
        <v>Provision</v>
      </c>
      <c r="E4" s="7" t="str">
        <f t="array" ref="E4">_xlfn.XLOOKUP(A4, Categories!A:A, Categories!C:C, "Check subcategory", 0)</f>
        <v>Snacks</v>
      </c>
    </row>
    <row r="5">
      <c r="A5" s="2" t="s">
        <v>23</v>
      </c>
      <c r="B5" s="16">
        <v>46206.0</v>
      </c>
      <c r="C5" s="2">
        <v>314.0</v>
      </c>
      <c r="D5" s="7" t="str">
        <f t="array" ref="D5">_xlfn.XLOOKUP(A5, Categories!A:A, Categories!B:B, "Check Category", 0)</f>
        <v>Grocery</v>
      </c>
      <c r="E5" s="7" t="str">
        <f t="array" ref="E5">_xlfn.XLOOKUP(A5, Categories!A:A, Categories!C:C, "Check subcategory", 0)</f>
        <v>Vegetables</v>
      </c>
    </row>
    <row r="6">
      <c r="A6" s="2" t="s">
        <v>15</v>
      </c>
      <c r="B6" s="16">
        <v>46207.0</v>
      </c>
      <c r="C6" s="2">
        <v>990.0</v>
      </c>
      <c r="D6" s="7" t="str">
        <f t="array" ref="D6">_xlfn.XLOOKUP(A6, Categories!A:A, Categories!B:B, "Check Category", 0)</f>
        <v>House</v>
      </c>
      <c r="E6" s="7" t="str">
        <f t="array" ref="E6">_xlfn.XLOOKUP(A6, Categories!A:A, Categories!C:C, "Check subcategory", 0)</f>
        <v>Gas</v>
      </c>
    </row>
    <row r="7">
      <c r="A7" s="2" t="s">
        <v>25</v>
      </c>
      <c r="B7" s="16">
        <v>46207.0</v>
      </c>
      <c r="C7" s="2">
        <v>3267.0</v>
      </c>
      <c r="D7" s="7" t="str">
        <f t="array" ref="D7">_xlfn.XLOOKUP(A7, Categories!A:A, Categories!B:B, "Check Category", 0)</f>
        <v>Provision</v>
      </c>
      <c r="E7" s="7" t="str">
        <f t="array" ref="E7">_xlfn.XLOOKUP(A7, Categories!A:A, Categories!C:C, "Check subcategory", 0)</f>
        <v>Provision</v>
      </c>
    </row>
    <row r="8">
      <c r="A8" s="2" t="s">
        <v>33</v>
      </c>
      <c r="B8" s="16">
        <v>46207.0</v>
      </c>
      <c r="C8" s="2">
        <v>341.0</v>
      </c>
      <c r="D8" s="7" t="str">
        <f t="array" ref="D8">_xlfn.XLOOKUP(A8, Categories!A:A, Categories!B:B, "Check Category", 0)</f>
        <v>Medicine</v>
      </c>
      <c r="E8" s="7" t="str">
        <f t="array" ref="E8">_xlfn.XLOOKUP(A8, Categories!A:A, Categories!C:C, "Check subcategory", 0)</f>
        <v>Ravi</v>
      </c>
    </row>
    <row r="9">
      <c r="A9" s="2" t="s">
        <v>23</v>
      </c>
      <c r="B9" s="16">
        <v>46210.0</v>
      </c>
      <c r="C9" s="2">
        <v>444.0</v>
      </c>
      <c r="D9" s="7" t="str">
        <f t="array" ref="D9">_xlfn.XLOOKUP(A9, Categories!A:A, Categories!B:B, "Check Category", 0)</f>
        <v>Grocery</v>
      </c>
      <c r="E9" s="7" t="str">
        <f t="array" ref="E9">_xlfn.XLOOKUP(A9, Categories!A:A, Categories!C:C, "Check subcategory", 0)</f>
        <v>Vegetables</v>
      </c>
    </row>
    <row r="10">
      <c r="A10" s="2" t="s">
        <v>11</v>
      </c>
      <c r="B10" s="16">
        <v>46210.0</v>
      </c>
      <c r="C10" s="2">
        <v>850.0</v>
      </c>
      <c r="D10" s="7" t="str">
        <f t="array" ref="D10">_xlfn.XLOOKUP(A10, Categories!A:A, Categories!B:B, "Check Category", 0)</f>
        <v>House</v>
      </c>
      <c r="E10" s="7" t="str">
        <f t="array" ref="E10">_xlfn.XLOOKUP(A10, Categories!A:A, Categories!C:C, "Check subcategory", 0)</f>
        <v>Milk</v>
      </c>
    </row>
    <row r="11">
      <c r="A11" s="2" t="s">
        <v>10</v>
      </c>
      <c r="B11" s="16">
        <v>46212.0</v>
      </c>
      <c r="C11" s="2">
        <v>21.0</v>
      </c>
      <c r="D11" s="7" t="str">
        <f t="array" ref="D11">_xlfn.XLOOKUP(A11, Categories!A:A, Categories!B:B, "Check Category", 0)</f>
        <v>Transport</v>
      </c>
      <c r="E11" s="7" t="str">
        <f t="array" ref="E11">_xlfn.XLOOKUP(A11, Categories!A:A, Categories!C:C, "Check subcategory", 0)</f>
        <v>Bus</v>
      </c>
    </row>
    <row r="12">
      <c r="A12" s="2" t="s">
        <v>25</v>
      </c>
      <c r="B12" s="16">
        <v>46212.0</v>
      </c>
      <c r="C12" s="2">
        <v>180.0</v>
      </c>
      <c r="D12" s="7" t="str">
        <f t="array" ref="D12">_xlfn.XLOOKUP(A12, Categories!A:A, Categories!B:B, "Check Category", 0)</f>
        <v>Provision</v>
      </c>
      <c r="E12" s="7" t="str">
        <f t="array" ref="E12">_xlfn.XLOOKUP(A12, Categories!A:A, Categories!C:C, "Check subcategory", 0)</f>
        <v>Provision</v>
      </c>
    </row>
    <row r="13">
      <c r="A13" s="2" t="s">
        <v>85</v>
      </c>
      <c r="B13" s="16">
        <v>46212.0</v>
      </c>
      <c r="C13" s="2">
        <v>288.0</v>
      </c>
      <c r="D13" s="7" t="str">
        <f t="array" ref="D13">_xlfn.XLOOKUP(A13, Categories!A:A, Categories!B:B, "Check Category", 0)</f>
        <v>Provision</v>
      </c>
      <c r="E13" s="7" t="str">
        <f t="array" ref="E13">_xlfn.XLOOKUP(A13, Categories!A:A, Categories!C:C, "Check subcategory", 0)</f>
        <v>Honey</v>
      </c>
    </row>
    <row r="14">
      <c r="A14" s="2" t="s">
        <v>84</v>
      </c>
      <c r="B14" s="16">
        <v>46212.0</v>
      </c>
      <c r="C14" s="2">
        <v>325.0</v>
      </c>
      <c r="D14" s="7" t="str">
        <f t="array" ref="D14">_xlfn.XLOOKUP(A14, Categories!A:A, Categories!B:B, "Check Category", 0)</f>
        <v>Provision</v>
      </c>
      <c r="E14" s="7" t="str">
        <f t="array" ref="E14">_xlfn.XLOOKUP(A14, Categories!A:A, Categories!C:C, "Check subcategory", 0)</f>
        <v>Dry fruits</v>
      </c>
    </row>
    <row r="15">
      <c r="A15" s="2" t="s">
        <v>27</v>
      </c>
      <c r="B15" s="16">
        <v>46212.0</v>
      </c>
      <c r="C15" s="2">
        <v>80.0</v>
      </c>
      <c r="D15" s="7" t="str">
        <f t="array" ref="D15">_xlfn.XLOOKUP(A15, Categories!A:A, Categories!B:B, "Check Category", 0)</f>
        <v>Grocery</v>
      </c>
      <c r="E15" s="7" t="str">
        <f t="array" ref="E15">_xlfn.XLOOKUP(A15, Categories!A:A, Categories!C:C, "Check subcategory", 0)</f>
        <v>Fruits</v>
      </c>
    </row>
    <row r="16">
      <c r="A16" s="2" t="s">
        <v>62</v>
      </c>
      <c r="B16" s="16">
        <v>46212.0</v>
      </c>
      <c r="C16" s="2">
        <v>50.0</v>
      </c>
      <c r="D16" s="7" t="str">
        <f t="array" ref="D16">_xlfn.XLOOKUP(A16, Categories!A:A, Categories!B:B, "Check Category", 0)</f>
        <v>Food</v>
      </c>
      <c r="E16" s="7" t="str">
        <f t="array" ref="E16">_xlfn.XLOOKUP(A16, Categories!A:A, Categories!C:C, "Check subcategory", 0)</f>
        <v>Outside</v>
      </c>
    </row>
    <row r="17">
      <c r="A17" s="2" t="s">
        <v>10</v>
      </c>
      <c r="B17" s="16">
        <v>46212.0</v>
      </c>
      <c r="C17" s="2">
        <v>22.0</v>
      </c>
      <c r="D17" s="7" t="str">
        <f t="array" ref="D17">_xlfn.XLOOKUP(A17, Categories!A:A, Categories!B:B, "Check Category", 0)</f>
        <v>Transport</v>
      </c>
      <c r="E17" s="7" t="str">
        <f t="array" ref="E17">_xlfn.XLOOKUP(A17, Categories!A:A, Categories!C:C, "Check subcategory", 0)</f>
        <v>Bus</v>
      </c>
    </row>
    <row r="18">
      <c r="A18" s="2" t="s">
        <v>33</v>
      </c>
      <c r="B18" s="16">
        <v>46212.0</v>
      </c>
      <c r="C18" s="2">
        <v>9.0</v>
      </c>
      <c r="D18" s="7" t="str">
        <f t="array" ref="D18">_xlfn.XLOOKUP(A18, Categories!A:A, Categories!B:B, "Check Category", 0)</f>
        <v>Medicine</v>
      </c>
      <c r="E18" s="7" t="str">
        <f t="array" ref="E18">_xlfn.XLOOKUP(A18, Categories!A:A, Categories!C:C, "Check subcategory", 0)</f>
        <v>Ravi</v>
      </c>
    </row>
    <row r="19">
      <c r="A19" s="2" t="s">
        <v>27</v>
      </c>
      <c r="B19" s="16">
        <v>46212.0</v>
      </c>
      <c r="C19" s="2">
        <v>61.0</v>
      </c>
      <c r="D19" s="7" t="str">
        <f t="array" ref="D19">_xlfn.XLOOKUP(A19, Categories!A:A, Categories!B:B, "Check Category", 0)</f>
        <v>Grocery</v>
      </c>
      <c r="E19" s="7" t="str">
        <f t="array" ref="E19">_xlfn.XLOOKUP(A19, Categories!A:A, Categories!C:C, "Check subcategory", 0)</f>
        <v>Fruits</v>
      </c>
    </row>
    <row r="20">
      <c r="A20" s="2" t="s">
        <v>40</v>
      </c>
      <c r="B20" s="16">
        <v>46213.0</v>
      </c>
      <c r="C20" s="2">
        <v>250.0</v>
      </c>
      <c r="D20" s="7" t="str">
        <f t="array" ref="D20">_xlfn.XLOOKUP(A20, Categories!A:A, Categories!B:B, "Check Category", 0)</f>
        <v>Medicine</v>
      </c>
      <c r="E20" s="7" t="str">
        <f t="array" ref="E20">_xlfn.XLOOKUP(A20, Categories!A:A, Categories!C:C, "Check subcategory", 0)</f>
        <v>Karthick</v>
      </c>
    </row>
    <row r="21">
      <c r="A21" s="2" t="s">
        <v>23</v>
      </c>
      <c r="B21" s="16">
        <v>46213.0</v>
      </c>
      <c r="C21" s="2">
        <v>109.0</v>
      </c>
      <c r="D21" s="7" t="str">
        <f t="array" ref="D21">_xlfn.XLOOKUP(A21, Categories!A:A, Categories!B:B, "Check Category", 0)</f>
        <v>Grocery</v>
      </c>
      <c r="E21" s="7" t="str">
        <f t="array" ref="E21">_xlfn.XLOOKUP(A21, Categories!A:A, Categories!C:C, "Check subcategory", 0)</f>
        <v>Vegetables</v>
      </c>
    </row>
    <row r="22">
      <c r="A22" s="2" t="s">
        <v>10</v>
      </c>
      <c r="B22" s="16">
        <v>46214.0</v>
      </c>
      <c r="C22" s="2">
        <v>21.0</v>
      </c>
      <c r="D22" s="7" t="str">
        <f t="array" ref="D22">_xlfn.XLOOKUP(A22, Categories!A:A, Categories!B:B, "Check Category", 0)</f>
        <v>Transport</v>
      </c>
      <c r="E22" s="7" t="str">
        <f t="array" ref="E22">_xlfn.XLOOKUP(A22, Categories!A:A, Categories!C:C, "Check subcategory", 0)</f>
        <v>Bus</v>
      </c>
    </row>
    <row r="23">
      <c r="A23" s="2" t="s">
        <v>9</v>
      </c>
      <c r="B23" s="16">
        <v>46214.0</v>
      </c>
      <c r="C23" s="2">
        <v>110.0</v>
      </c>
      <c r="D23" s="14" t="s">
        <v>9</v>
      </c>
      <c r="E23" s="14" t="s">
        <v>28</v>
      </c>
    </row>
    <row r="24">
      <c r="A24" s="2" t="s">
        <v>38</v>
      </c>
      <c r="B24" s="16">
        <v>46214.0</v>
      </c>
      <c r="C24" s="2">
        <v>615.0</v>
      </c>
      <c r="D24" s="7" t="str">
        <f t="array" ref="D24">_xlfn.XLOOKUP(A24, Categories!A:A, Categories!B:B, "Check Category", 0)</f>
        <v>Medicine</v>
      </c>
      <c r="E24" s="7" t="str">
        <f t="array" ref="E24">_xlfn.XLOOKUP(A24, Categories!A:A, Categories!C:C, "Check subcategory", 0)</f>
        <v>Prabha</v>
      </c>
    </row>
    <row r="25">
      <c r="A25" s="2" t="s">
        <v>211</v>
      </c>
      <c r="B25" s="16">
        <v>46214.0</v>
      </c>
      <c r="C25" s="2">
        <v>200.0</v>
      </c>
      <c r="D25" s="7" t="str">
        <f t="array" ref="D25">_xlfn.XLOOKUP(A25, Categories!A:A, Categories!B:B, "Check Category", 0)</f>
        <v>Check Category</v>
      </c>
      <c r="E25" s="7" t="str">
        <f t="array" ref="E25">_xlfn.XLOOKUP(A25, Categories!A:A, Categories!C:C, "Check subcategory", 0)</f>
        <v>Check subcategory</v>
      </c>
    </row>
    <row r="26">
      <c r="A26" s="2" t="s">
        <v>62</v>
      </c>
      <c r="B26" s="16">
        <v>46214.0</v>
      </c>
      <c r="C26" s="2">
        <v>20.0</v>
      </c>
      <c r="D26" s="7" t="str">
        <f t="array" ref="D26">_xlfn.XLOOKUP(A26, Categories!A:A, Categories!B:B, "Check Category", 0)</f>
        <v>Food</v>
      </c>
      <c r="E26" s="7" t="str">
        <f t="array" ref="E26">_xlfn.XLOOKUP(A26, Categories!A:A, Categories!C:C, "Check subcategory", 0)</f>
        <v>Outside</v>
      </c>
    </row>
    <row r="27">
      <c r="A27" s="2" t="s">
        <v>25</v>
      </c>
      <c r="B27" s="16">
        <v>46214.0</v>
      </c>
      <c r="C27" s="2">
        <v>235.0</v>
      </c>
      <c r="D27" s="7" t="str">
        <f t="array" ref="D27">_xlfn.XLOOKUP(A27, Categories!A:A, Categories!B:B, "Check Category", 0)</f>
        <v>Provision</v>
      </c>
      <c r="E27" s="7" t="str">
        <f t="array" ref="E27">_xlfn.XLOOKUP(A27, Categories!A:A, Categories!C:C, "Check subcategory", 0)</f>
        <v>Provision</v>
      </c>
    </row>
    <row r="28">
      <c r="A28" s="2" t="s">
        <v>25</v>
      </c>
      <c r="B28" s="16">
        <v>46214.0</v>
      </c>
      <c r="C28" s="2">
        <v>170.0</v>
      </c>
      <c r="D28" s="7" t="str">
        <f t="array" ref="D28">_xlfn.XLOOKUP(A28, Categories!A:A, Categories!B:B, "Check Category", 0)</f>
        <v>Provision</v>
      </c>
      <c r="E28" s="7" t="str">
        <f t="array" ref="E28">_xlfn.XLOOKUP(A28, Categories!A:A, Categories!C:C, "Check subcategory", 0)</f>
        <v>Provision</v>
      </c>
    </row>
    <row r="29">
      <c r="A29" s="2" t="s">
        <v>212</v>
      </c>
      <c r="B29" s="16">
        <v>46215.0</v>
      </c>
      <c r="C29" s="2">
        <v>45.0</v>
      </c>
      <c r="D29" s="7" t="str">
        <f t="array" ref="D29">_xlfn.XLOOKUP(A29, Categories!A:A, Categories!B:B, "Check Category", 0)</f>
        <v>Grocery</v>
      </c>
      <c r="E29" s="7" t="str">
        <f t="array" ref="E29">_xlfn.XLOOKUP(A29, Categories!A:A, Categories!C:C, "Check subcategory", 0)</f>
        <v>Readymade</v>
      </c>
    </row>
    <row r="30">
      <c r="A30" s="2" t="s">
        <v>23</v>
      </c>
      <c r="B30" s="16">
        <v>46215.0</v>
      </c>
      <c r="C30" s="2">
        <v>50.0</v>
      </c>
      <c r="D30" s="7" t="str">
        <f t="array" ref="D30">_xlfn.XLOOKUP(A30, Categories!A:A, Categories!B:B, "Check Category", 0)</f>
        <v>Grocery</v>
      </c>
      <c r="E30" s="7" t="str">
        <f t="array" ref="E30">_xlfn.XLOOKUP(A30, Categories!A:A, Categories!C:C, "Check subcategory", 0)</f>
        <v>Vegetables</v>
      </c>
    </row>
    <row r="31">
      <c r="A31" s="2" t="s">
        <v>8</v>
      </c>
      <c r="B31" s="16">
        <v>46215.0</v>
      </c>
      <c r="C31" s="2">
        <v>40.0</v>
      </c>
      <c r="D31" s="7" t="str">
        <f t="array" ref="D31">_xlfn.XLOOKUP(A31, Categories!A:A, Categories!B:B, "Check Category", 0)</f>
        <v>House</v>
      </c>
      <c r="E31" s="7" t="str">
        <f t="array" ref="E31">_xlfn.XLOOKUP(A31, Categories!A:A, Categories!C:C, "Check subcategory", 0)</f>
        <v>Newspaper</v>
      </c>
    </row>
    <row r="32">
      <c r="A32" s="2" t="s">
        <v>9</v>
      </c>
      <c r="B32" s="16">
        <v>46215.0</v>
      </c>
      <c r="C32" s="2">
        <v>80.0</v>
      </c>
      <c r="D32" s="14" t="s">
        <v>9</v>
      </c>
      <c r="E32" s="14" t="s">
        <v>28</v>
      </c>
    </row>
    <row r="33">
      <c r="A33" s="2" t="s">
        <v>20</v>
      </c>
      <c r="B33" s="16">
        <v>46216.0</v>
      </c>
      <c r="C33" s="2">
        <v>675.0</v>
      </c>
      <c r="D33" s="7" t="str">
        <f t="array" ref="D33">_xlfn.XLOOKUP(A33, Categories!A:A, Categories!B:B, "Check Category", 0)</f>
        <v>House</v>
      </c>
      <c r="E33" s="7" t="str">
        <f t="array" ref="E33">_xlfn.XLOOKUP(A33, Categories!A:A, Categories!C:C, "Check subcategory", 0)</f>
        <v>EB</v>
      </c>
    </row>
    <row r="34">
      <c r="A34" s="2" t="s">
        <v>26</v>
      </c>
      <c r="B34" s="16">
        <v>46216.0</v>
      </c>
      <c r="C34" s="2">
        <v>500.0</v>
      </c>
      <c r="D34" s="7" t="str">
        <f t="array" ref="D34">_xlfn.XLOOKUP(A34, Categories!A:A, Categories!B:B, "Check Category", 0)</f>
        <v>House</v>
      </c>
      <c r="E34" s="7" t="str">
        <f t="array" ref="E34">_xlfn.XLOOKUP(A34, Categories!A:A, Categories!C:C, "Check subcategory", 0)</f>
        <v>Common</v>
      </c>
    </row>
    <row r="35">
      <c r="A35" s="2" t="s">
        <v>64</v>
      </c>
      <c r="B35" s="16">
        <v>46216.0</v>
      </c>
      <c r="C35" s="2">
        <v>100.0</v>
      </c>
      <c r="D35" s="7" t="str">
        <f t="array" ref="D35">_xlfn.XLOOKUP(A35, Categories!A:A, Categories!B:B, "Check Category", 0)</f>
        <v>Provision</v>
      </c>
      <c r="E35" s="7" t="str">
        <f t="array" ref="E35">_xlfn.XLOOKUP(A35, Categories!A:A, Categories!C:C, "Check subcategory", 0)</f>
        <v>Snacks</v>
      </c>
    </row>
    <row r="36">
      <c r="A36" s="2" t="s">
        <v>33</v>
      </c>
      <c r="B36" s="16">
        <v>46216.0</v>
      </c>
      <c r="C36" s="2">
        <v>167.0</v>
      </c>
      <c r="D36" s="7" t="str">
        <f t="array" ref="D36">_xlfn.XLOOKUP(A36, Categories!A:A, Categories!B:B, "Check Category", 0)</f>
        <v>Medicine</v>
      </c>
      <c r="E36" s="7" t="str">
        <f t="array" ref="E36">_xlfn.XLOOKUP(A36, Categories!A:A, Categories!C:C, "Check subcategory", 0)</f>
        <v>Ravi</v>
      </c>
    </row>
    <row r="37">
      <c r="A37" s="2" t="s">
        <v>27</v>
      </c>
      <c r="B37" s="16">
        <v>46217.0</v>
      </c>
      <c r="C37" s="2">
        <v>30.0</v>
      </c>
      <c r="D37" s="7" t="str">
        <f t="array" ref="D37">_xlfn.XLOOKUP(A37, Categories!A:A, Categories!B:B, "Check Category", 0)</f>
        <v>Grocery</v>
      </c>
      <c r="E37" s="7" t="str">
        <f t="array" ref="E37">_xlfn.XLOOKUP(A37, Categories!A:A, Categories!C:C, "Check subcategory", 0)</f>
        <v>Fruits</v>
      </c>
    </row>
    <row r="38">
      <c r="A38" s="2" t="s">
        <v>64</v>
      </c>
      <c r="B38" s="16">
        <v>46217.0</v>
      </c>
      <c r="C38" s="2">
        <v>110.0</v>
      </c>
      <c r="D38" s="7" t="str">
        <f t="array" ref="D38">_xlfn.XLOOKUP(A38, Categories!A:A, Categories!B:B, "Check Category", 0)</f>
        <v>Provision</v>
      </c>
      <c r="E38" s="7" t="str">
        <f t="array" ref="E38">_xlfn.XLOOKUP(A38, Categories!A:A, Categories!C:C, "Check subcategory", 0)</f>
        <v>Snacks</v>
      </c>
    </row>
    <row r="39">
      <c r="A39" s="2" t="s">
        <v>214</v>
      </c>
      <c r="B39" s="16">
        <v>46217.0</v>
      </c>
      <c r="C39" s="2">
        <v>180.0</v>
      </c>
      <c r="D39" s="7" t="str">
        <f t="array" ref="D39">_xlfn.XLOOKUP(A39, Categories!A:A, Categories!B:B, "Check Category", 0)</f>
        <v>Temple</v>
      </c>
      <c r="E39" s="7" t="str">
        <f t="array" ref="E39">_xlfn.XLOOKUP(A39, Categories!A:A, Categories!C:C, "Check subcategory", 0)</f>
        <v>Pooja</v>
      </c>
    </row>
    <row r="40">
      <c r="A40" s="2" t="s">
        <v>214</v>
      </c>
      <c r="B40" s="16">
        <v>46217.0</v>
      </c>
      <c r="C40" s="2">
        <v>80.0</v>
      </c>
      <c r="D40" s="7" t="str">
        <f t="array" ref="D40">_xlfn.XLOOKUP(A40, Categories!A:A, Categories!B:B, "Check Category", 0)</f>
        <v>Temple</v>
      </c>
      <c r="E40" s="7" t="str">
        <f t="array" ref="E40">_xlfn.XLOOKUP(A40, Categories!A:A, Categories!C:C, "Check subcategory", 0)</f>
        <v>Pooja</v>
      </c>
    </row>
    <row r="41">
      <c r="A41" s="2" t="s">
        <v>13</v>
      </c>
      <c r="B41" s="16">
        <v>46217.0</v>
      </c>
      <c r="C41" s="2">
        <v>30.0</v>
      </c>
      <c r="D41" s="7" t="str">
        <f t="array" ref="D41">_xlfn.XLOOKUP(A41, Categories!A:A, Categories!B:B, "Check Category", 0)</f>
        <v>Temple</v>
      </c>
      <c r="E41" s="7" t="str">
        <f t="array" ref="E41">_xlfn.XLOOKUP(A41, Categories!A:A, Categories!C:C, "Check subcategory", 0)</f>
        <v>Donation</v>
      </c>
    </row>
    <row r="42">
      <c r="A42" s="2" t="s">
        <v>212</v>
      </c>
      <c r="B42" s="16">
        <v>46217.0</v>
      </c>
      <c r="C42" s="2">
        <v>27.0</v>
      </c>
      <c r="D42" s="7" t="str">
        <f t="array" ref="D42">_xlfn.XLOOKUP(A42, Categories!A:A, Categories!B:B, "Check Category", 0)</f>
        <v>Grocery</v>
      </c>
      <c r="E42" s="7" t="str">
        <f t="array" ref="E42">_xlfn.XLOOKUP(A42, Categories!A:A, Categories!C:C, "Check subcategory", 0)</f>
        <v>Readymade</v>
      </c>
    </row>
    <row r="43">
      <c r="A43" s="2" t="s">
        <v>214</v>
      </c>
      <c r="B43" s="16">
        <v>46217.0</v>
      </c>
      <c r="C43" s="2">
        <v>80.0</v>
      </c>
      <c r="D43" s="7" t="str">
        <f t="array" ref="D43">_xlfn.XLOOKUP(A43, Categories!A:A, Categories!B:B, "Check Category", 0)</f>
        <v>Temple</v>
      </c>
      <c r="E43" s="7" t="str">
        <f t="array" ref="E43">_xlfn.XLOOKUP(A43, Categories!A:A, Categories!C:C, "Check subcategory", 0)</f>
        <v>Pooja</v>
      </c>
    </row>
    <row r="44">
      <c r="A44" s="2" t="s">
        <v>13</v>
      </c>
      <c r="B44" s="16">
        <v>46217.0</v>
      </c>
      <c r="C44" s="2">
        <v>45.0</v>
      </c>
      <c r="D44" s="7" t="str">
        <f t="array" ref="D44">_xlfn.XLOOKUP(A44, Categories!A:A, Categories!B:B, "Check Category", 0)</f>
        <v>Temple</v>
      </c>
      <c r="E44" s="7" t="str">
        <f t="array" ref="E44">_xlfn.XLOOKUP(A44, Categories!A:A, Categories!C:C, "Check subcategory", 0)</f>
        <v>Donation</v>
      </c>
    </row>
    <row r="45">
      <c r="A45" s="2" t="s">
        <v>214</v>
      </c>
      <c r="B45" s="16">
        <v>46217.0</v>
      </c>
      <c r="C45" s="2">
        <v>2400.0</v>
      </c>
      <c r="D45" s="7" t="str">
        <f t="array" ref="D45">_xlfn.XLOOKUP(A45, Categories!A:A, Categories!B:B, "Check Category", 0)</f>
        <v>Temple</v>
      </c>
      <c r="E45" s="7" t="str">
        <f t="array" ref="E45">_xlfn.XLOOKUP(A45, Categories!A:A, Categories!C:C, "Check subcategory", 0)</f>
        <v>Pooja</v>
      </c>
    </row>
    <row r="46">
      <c r="A46" s="2" t="s">
        <v>23</v>
      </c>
      <c r="B46" s="16">
        <v>46217.0</v>
      </c>
      <c r="C46" s="2">
        <v>145.0</v>
      </c>
      <c r="D46" s="7" t="str">
        <f t="array" ref="D46">_xlfn.XLOOKUP(A46, Categories!A:A, Categories!B:B, "Check Category", 0)</f>
        <v>Grocery</v>
      </c>
      <c r="E46" s="7" t="str">
        <f t="array" ref="E46">_xlfn.XLOOKUP(A46, Categories!A:A, Categories!C:C, "Check subcategory", 0)</f>
        <v>Vegetables</v>
      </c>
    </row>
    <row r="47">
      <c r="A47" s="2" t="s">
        <v>10</v>
      </c>
      <c r="B47" s="16">
        <v>46217.0</v>
      </c>
      <c r="C47" s="2">
        <v>16.0</v>
      </c>
      <c r="D47" s="7" t="str">
        <f t="array" ref="D47">_xlfn.XLOOKUP(A47, Categories!A:A, Categories!B:B, "Check Category", 0)</f>
        <v>Transport</v>
      </c>
      <c r="E47" s="7" t="str">
        <f t="array" ref="E47">_xlfn.XLOOKUP(A47, Categories!A:A, Categories!C:C, "Check subcategory", 0)</f>
        <v>Bus</v>
      </c>
    </row>
    <row r="48">
      <c r="A48" s="2" t="s">
        <v>10</v>
      </c>
      <c r="B48" s="16">
        <v>46218.0</v>
      </c>
      <c r="C48" s="2">
        <v>56.0</v>
      </c>
      <c r="D48" s="7" t="str">
        <f t="array" ref="D48">_xlfn.XLOOKUP(A48, Categories!A:A, Categories!B:B, "Check Category", 0)</f>
        <v>Transport</v>
      </c>
      <c r="E48" s="7" t="str">
        <f t="array" ref="E48">_xlfn.XLOOKUP(A48, Categories!A:A, Categories!C:C, "Check subcategory", 0)</f>
        <v>Bus</v>
      </c>
    </row>
    <row r="49">
      <c r="A49" s="2" t="s">
        <v>214</v>
      </c>
      <c r="B49" s="16">
        <v>46218.0</v>
      </c>
      <c r="C49" s="2">
        <v>120.0</v>
      </c>
      <c r="D49" s="7" t="str">
        <f t="array" ref="D49">_xlfn.XLOOKUP(A49, Categories!A:A, Categories!B:B, "Check Category", 0)</f>
        <v>Temple</v>
      </c>
      <c r="E49" s="7" t="str">
        <f t="array" ref="E49">_xlfn.XLOOKUP(A49, Categories!A:A, Categories!C:C, "Check subcategory", 0)</f>
        <v>Pooja</v>
      </c>
    </row>
    <row r="50">
      <c r="A50" s="2" t="s">
        <v>13</v>
      </c>
      <c r="B50" s="16">
        <v>46218.0</v>
      </c>
      <c r="C50" s="2">
        <v>30.0</v>
      </c>
      <c r="D50" s="7" t="str">
        <f t="array" ref="D50">_xlfn.XLOOKUP(A50, Categories!A:A, Categories!B:B, "Check Category", 0)</f>
        <v>Temple</v>
      </c>
      <c r="E50" s="7" t="str">
        <f t="array" ref="E50">_xlfn.XLOOKUP(A50, Categories!A:A, Categories!C:C, "Check subcategory", 0)</f>
        <v>Donation</v>
      </c>
    </row>
    <row r="51">
      <c r="A51" s="2" t="s">
        <v>232</v>
      </c>
      <c r="B51" s="16">
        <v>46218.0</v>
      </c>
      <c r="C51" s="2">
        <v>31500.0</v>
      </c>
      <c r="D51" s="14" t="s">
        <v>90</v>
      </c>
      <c r="E51" s="14" t="s">
        <v>93</v>
      </c>
    </row>
    <row r="52">
      <c r="A52" s="2" t="s">
        <v>25</v>
      </c>
      <c r="B52" s="16">
        <v>46218.0</v>
      </c>
      <c r="C52" s="2">
        <v>137.0</v>
      </c>
      <c r="D52" s="7" t="str">
        <f t="array" ref="D52">_xlfn.XLOOKUP(A52, Categories!A:A, Categories!B:B, "Check Category", 0)</f>
        <v>Provision</v>
      </c>
      <c r="E52" s="7" t="str">
        <f t="array" ref="E52">_xlfn.XLOOKUP(A52, Categories!A:A, Categories!C:C, "Check subcategory", 0)</f>
        <v>Provision</v>
      </c>
    </row>
    <row r="53">
      <c r="A53" s="2" t="s">
        <v>25</v>
      </c>
      <c r="B53" s="16">
        <v>46218.0</v>
      </c>
      <c r="C53" s="2">
        <v>286.0</v>
      </c>
      <c r="D53" s="7" t="str">
        <f t="array" ref="D53">_xlfn.XLOOKUP(A53, Categories!A:A, Categories!B:B, "Check Category", 0)</f>
        <v>Provision</v>
      </c>
      <c r="E53" s="7" t="str">
        <f t="array" ref="E53">_xlfn.XLOOKUP(A53, Categories!A:A, Categories!C:C, "Check subcategory", 0)</f>
        <v>Provision</v>
      </c>
    </row>
    <row r="54">
      <c r="A54" s="2" t="s">
        <v>39</v>
      </c>
      <c r="B54" s="16">
        <v>46220.0</v>
      </c>
      <c r="C54" s="2">
        <v>241.0</v>
      </c>
      <c r="D54" s="7" t="str">
        <f t="array" ref="D54">_xlfn.XLOOKUP(A54, Categories!A:A, Categories!B:B, "Check Category", 0)</f>
        <v>Transport</v>
      </c>
      <c r="E54" s="7" t="str">
        <f t="array" ref="E54">_xlfn.XLOOKUP(A54, Categories!A:A, Categories!C:C, "Check subcategory", 0)</f>
        <v>Auto</v>
      </c>
    </row>
    <row r="55">
      <c r="A55" s="2" t="s">
        <v>39</v>
      </c>
      <c r="B55" s="16">
        <v>46220.0</v>
      </c>
      <c r="C55" s="2">
        <v>300.0</v>
      </c>
      <c r="D55" s="7" t="str">
        <f t="array" ref="D55">_xlfn.XLOOKUP(A55, Categories!A:A, Categories!B:B, "Check Category", 0)</f>
        <v>Transport</v>
      </c>
      <c r="E55" s="7" t="str">
        <f t="array" ref="E55">_xlfn.XLOOKUP(A55, Categories!A:A, Categories!C:C, "Check subcategory", 0)</f>
        <v>Auto</v>
      </c>
    </row>
    <row r="56">
      <c r="A56" s="2" t="s">
        <v>13</v>
      </c>
      <c r="B56" s="16">
        <v>46220.0</v>
      </c>
      <c r="C56" s="2">
        <v>100.0</v>
      </c>
      <c r="D56" s="7" t="str">
        <f t="array" ref="D56">_xlfn.XLOOKUP(A56, Categories!A:A, Categories!B:B, "Check Category", 0)</f>
        <v>Temple</v>
      </c>
      <c r="E56" s="7" t="str">
        <f t="array" ref="E56">_xlfn.XLOOKUP(A56, Categories!A:A, Categories!C:C, "Check subcategory", 0)</f>
        <v>Donation</v>
      </c>
    </row>
    <row r="57">
      <c r="A57" s="2" t="s">
        <v>102</v>
      </c>
      <c r="B57" s="16">
        <v>46223.0</v>
      </c>
      <c r="C57" s="2">
        <v>800.0</v>
      </c>
      <c r="D57" s="7" t="str">
        <f t="array" ref="D57">_xlfn.XLOOKUP(A57, Categories!A:A, Categories!B:B, "Check Category", 0)</f>
        <v>Mobile</v>
      </c>
      <c r="E57" s="7" t="str">
        <f t="array" ref="E57">_xlfn.XLOOKUP(A57, Categories!A:A, Categories!C:C, "Check subcategory", 0)</f>
        <v>Ravi</v>
      </c>
    </row>
    <row r="58">
      <c r="A58" s="2" t="s">
        <v>23</v>
      </c>
      <c r="B58" s="16">
        <v>46224.0</v>
      </c>
      <c r="C58" s="2">
        <v>463.0</v>
      </c>
      <c r="D58" s="7" t="str">
        <f t="array" ref="D58">_xlfn.XLOOKUP(A58, Categories!A:A, Categories!B:B, "Check Category", 0)</f>
        <v>Grocery</v>
      </c>
      <c r="E58" s="7" t="str">
        <f t="array" ref="E58">_xlfn.XLOOKUP(A58, Categories!A:A, Categories!C:C, "Check subcategory", 0)</f>
        <v>Vegetables</v>
      </c>
    </row>
    <row r="59">
      <c r="A59" s="2" t="s">
        <v>33</v>
      </c>
      <c r="B59" s="16">
        <v>46224.0</v>
      </c>
      <c r="C59" s="2">
        <v>681.0</v>
      </c>
      <c r="D59" s="7" t="str">
        <f t="array" ref="D59">_xlfn.XLOOKUP(A59, Categories!A:A, Categories!B:B, "Check Category", 0)</f>
        <v>Medicine</v>
      </c>
      <c r="E59" s="7" t="str">
        <f t="array" ref="E59">_xlfn.XLOOKUP(A59, Categories!A:A, Categories!C:C, "Check subcategory", 0)</f>
        <v>Ravi</v>
      </c>
    </row>
    <row r="60">
      <c r="A60" s="2" t="s">
        <v>212</v>
      </c>
      <c r="B60" s="16">
        <v>46224.0</v>
      </c>
      <c r="C60" s="2">
        <v>200.0</v>
      </c>
      <c r="D60" s="7" t="str">
        <f t="array" ref="D60">_xlfn.XLOOKUP(A60, Categories!A:A, Categories!B:B, "Check Category", 0)</f>
        <v>Grocery</v>
      </c>
      <c r="E60" s="7" t="str">
        <f t="array" ref="E60">_xlfn.XLOOKUP(A60, Categories!A:A, Categories!C:C, "Check subcategory", 0)</f>
        <v>Readymade</v>
      </c>
    </row>
    <row r="61">
      <c r="A61" s="2" t="s">
        <v>23</v>
      </c>
      <c r="B61" s="16">
        <v>46224.0</v>
      </c>
      <c r="C61" s="2">
        <v>76.0</v>
      </c>
      <c r="D61" s="7" t="str">
        <f t="array" ref="D61">_xlfn.XLOOKUP(A61, Categories!A:A, Categories!B:B, "Check Category", 0)</f>
        <v>Grocery</v>
      </c>
      <c r="E61" s="7" t="str">
        <f t="array" ref="E61">_xlfn.XLOOKUP(A61, Categories!A:A, Categories!C:C, "Check subcategory", 0)</f>
        <v>Vegetables</v>
      </c>
    </row>
    <row r="62">
      <c r="A62" s="2" t="s">
        <v>25</v>
      </c>
      <c r="B62" s="16">
        <v>46225.0</v>
      </c>
      <c r="C62" s="2">
        <v>150.0</v>
      </c>
      <c r="D62" s="7" t="str">
        <f t="array" ref="D62">_xlfn.XLOOKUP(A62, Categories!A:A, Categories!B:B, "Check Category", 0)</f>
        <v>Provision</v>
      </c>
      <c r="E62" s="7" t="str">
        <f t="array" ref="E62">_xlfn.XLOOKUP(A62, Categories!A:A, Categories!C:C, "Check subcategory", 0)</f>
        <v>Provision</v>
      </c>
    </row>
    <row r="63">
      <c r="A63" s="2" t="s">
        <v>64</v>
      </c>
      <c r="B63" s="16">
        <v>46225.0</v>
      </c>
      <c r="C63" s="2">
        <v>245.0</v>
      </c>
      <c r="D63" s="7" t="str">
        <f t="array" ref="D63">_xlfn.XLOOKUP(A63, Categories!A:A, Categories!B:B, "Check Category", 0)</f>
        <v>Provision</v>
      </c>
      <c r="E63" s="7" t="str">
        <f t="array" ref="E63">_xlfn.XLOOKUP(A63, Categories!A:A, Categories!C:C, "Check subcategory", 0)</f>
        <v>Snacks</v>
      </c>
    </row>
    <row r="64">
      <c r="A64" s="2" t="s">
        <v>10</v>
      </c>
      <c r="B64" s="16">
        <v>46225.0</v>
      </c>
      <c r="C64" s="2">
        <v>22.0</v>
      </c>
      <c r="D64" s="7" t="str">
        <f t="array" ref="D64">_xlfn.XLOOKUP(A64, Categories!A:A, Categories!B:B, "Check Category", 0)</f>
        <v>Transport</v>
      </c>
      <c r="E64" s="7" t="str">
        <f t="array" ref="E64">_xlfn.XLOOKUP(A64, Categories!A:A, Categories!C:C, "Check subcategory", 0)</f>
        <v>Bus</v>
      </c>
    </row>
    <row r="65">
      <c r="A65" s="2" t="s">
        <v>99</v>
      </c>
      <c r="B65" s="16">
        <v>46225.0</v>
      </c>
      <c r="C65" s="2">
        <v>200.0</v>
      </c>
      <c r="D65" s="7" t="str">
        <f t="array" ref="D65">_xlfn.XLOOKUP(A65, Categories!A:A, Categories!B:B, "Check Category", 0)</f>
        <v>Medicine</v>
      </c>
      <c r="E65" s="7" t="str">
        <f t="array" ref="E65">_xlfn.XLOOKUP(A65, Categories!A:A, Categories!C:C, "Check subcategory", 0)</f>
        <v>Ravi</v>
      </c>
    </row>
    <row r="66">
      <c r="A66" s="2" t="s">
        <v>99</v>
      </c>
      <c r="B66" s="16">
        <v>46225.0</v>
      </c>
      <c r="C66" s="2">
        <v>500.0</v>
      </c>
      <c r="D66" s="7" t="str">
        <f t="array" ref="D66">_xlfn.XLOOKUP(A66, Categories!A:A, Categories!B:B, "Check Category", 0)</f>
        <v>Medicine</v>
      </c>
      <c r="E66" s="7" t="str">
        <f t="array" ref="E66">_xlfn.XLOOKUP(A66, Categories!A:A, Categories!C:C, "Check subcategory", 0)</f>
        <v>Ravi</v>
      </c>
    </row>
    <row r="67">
      <c r="A67" s="2" t="s">
        <v>10</v>
      </c>
      <c r="B67" s="16">
        <v>46225.0</v>
      </c>
      <c r="C67" s="2">
        <v>22.0</v>
      </c>
      <c r="D67" s="7" t="str">
        <f t="array" ref="D67">_xlfn.XLOOKUP(A67, Categories!A:A, Categories!B:B, "Check Category", 0)</f>
        <v>Transport</v>
      </c>
      <c r="E67" s="7" t="str">
        <f t="array" ref="E67">_xlfn.XLOOKUP(A67, Categories!A:A, Categories!C:C, "Check subcategory", 0)</f>
        <v>Bus</v>
      </c>
    </row>
    <row r="68">
      <c r="A68" s="2" t="s">
        <v>10</v>
      </c>
      <c r="B68" s="16">
        <v>46226.0</v>
      </c>
      <c r="C68" s="2">
        <v>55.0</v>
      </c>
      <c r="D68" s="7" t="str">
        <f t="array" ref="D68">_xlfn.XLOOKUP(A68, Categories!A:A, Categories!B:B, "Check Category", 0)</f>
        <v>Transport</v>
      </c>
      <c r="E68" s="7" t="str">
        <f t="array" ref="E68">_xlfn.XLOOKUP(A68, Categories!A:A, Categories!C:C, "Check subcategory", 0)</f>
        <v>Bus</v>
      </c>
    </row>
    <row r="69">
      <c r="A69" s="2" t="s">
        <v>46</v>
      </c>
      <c r="B69" s="16">
        <v>46226.0</v>
      </c>
      <c r="C69" s="2">
        <v>500.0</v>
      </c>
      <c r="D69" s="7" t="str">
        <f t="array" ref="D69">_xlfn.XLOOKUP(A69, Categories!A:A, Categories!B:B, "Check Category", 0)</f>
        <v>Hospital</v>
      </c>
      <c r="E69" s="7" t="str">
        <f t="array" ref="E69">_xlfn.XLOOKUP(A69, Categories!A:A, Categories!C:C, "Check subcategory", 0)</f>
        <v>Ravi</v>
      </c>
    </row>
    <row r="70">
      <c r="A70" s="2" t="s">
        <v>46</v>
      </c>
      <c r="B70" s="16">
        <v>46226.0</v>
      </c>
      <c r="C70" s="2">
        <v>1840.0</v>
      </c>
      <c r="D70" s="7" t="str">
        <f t="array" ref="D70">_xlfn.XLOOKUP(A70, Categories!A:A, Categories!B:B, "Check Category", 0)</f>
        <v>Hospital</v>
      </c>
      <c r="E70" s="7" t="str">
        <f t="array" ref="E70">_xlfn.XLOOKUP(A70, Categories!A:A, Categories!C:C, "Check subcategory", 0)</f>
        <v>Ravi</v>
      </c>
    </row>
    <row r="71">
      <c r="A71" s="2" t="s">
        <v>234</v>
      </c>
      <c r="B71" s="16">
        <v>46226.0</v>
      </c>
      <c r="C71" s="2">
        <v>590.0</v>
      </c>
      <c r="D71" s="14" t="s">
        <v>17</v>
      </c>
      <c r="E71" s="14" t="s">
        <v>35</v>
      </c>
    </row>
    <row r="72">
      <c r="A72" s="2" t="s">
        <v>39</v>
      </c>
      <c r="B72" s="16">
        <v>46226.0</v>
      </c>
      <c r="C72" s="2">
        <v>120.0</v>
      </c>
      <c r="D72" s="7" t="str">
        <f t="array" ref="D72">_xlfn.XLOOKUP(A72, Categories!A:A, Categories!B:B, "Check Category", 0)</f>
        <v>Transport</v>
      </c>
      <c r="E72" s="7" t="str">
        <f t="array" ref="E72">_xlfn.XLOOKUP(A72, Categories!A:A, Categories!C:C, "Check subcategory", 0)</f>
        <v>Auto</v>
      </c>
    </row>
    <row r="73">
      <c r="A73" s="2" t="s">
        <v>33</v>
      </c>
      <c r="B73" s="16">
        <v>46227.0</v>
      </c>
      <c r="C73" s="2">
        <v>2378.0</v>
      </c>
      <c r="D73" s="7" t="str">
        <f t="array" ref="D73">_xlfn.XLOOKUP(A73, Categories!A:A, Categories!B:B, "Check Category", 0)</f>
        <v>Medicine</v>
      </c>
      <c r="E73" s="7" t="str">
        <f t="array" ref="E73">_xlfn.XLOOKUP(A73, Categories!A:A, Categories!C:C, "Check subcategory", 0)</f>
        <v>Ravi</v>
      </c>
    </row>
    <row r="74">
      <c r="A74" s="2" t="s">
        <v>39</v>
      </c>
      <c r="B74" s="16">
        <v>46228.0</v>
      </c>
      <c r="C74" s="2">
        <v>140.0</v>
      </c>
      <c r="D74" s="7" t="str">
        <f t="array" ref="D74">_xlfn.XLOOKUP(A74, Categories!A:A, Categories!B:B, "Check Category", 0)</f>
        <v>Transport</v>
      </c>
      <c r="E74" s="7" t="str">
        <f t="array" ref="E74">_xlfn.XLOOKUP(A74, Categories!A:A, Categories!C:C, "Check subcategory", 0)</f>
        <v>Auto</v>
      </c>
    </row>
    <row r="75">
      <c r="A75" s="2" t="s">
        <v>212</v>
      </c>
      <c r="B75" s="16">
        <v>46228.0</v>
      </c>
      <c r="C75" s="2">
        <v>60.0</v>
      </c>
      <c r="D75" s="7" t="str">
        <f t="array" ref="D75">_xlfn.XLOOKUP(A75, Categories!A:A, Categories!B:B, "Check Category", 0)</f>
        <v>Grocery</v>
      </c>
      <c r="E75" s="7" t="str">
        <f t="array" ref="E75">_xlfn.XLOOKUP(A75, Categories!A:A, Categories!C:C, "Check subcategory", 0)</f>
        <v>Readymade</v>
      </c>
    </row>
    <row r="76">
      <c r="A76" s="2" t="s">
        <v>64</v>
      </c>
      <c r="B76" s="16">
        <v>46228.0</v>
      </c>
      <c r="C76" s="2">
        <v>60.0</v>
      </c>
      <c r="D76" s="7" t="str">
        <f t="array" ref="D76">_xlfn.XLOOKUP(A76, Categories!A:A, Categories!B:B, "Check Category", 0)</f>
        <v>Provision</v>
      </c>
      <c r="E76" s="7" t="str">
        <f t="array" ref="E76">_xlfn.XLOOKUP(A76, Categories!A:A, Categories!C:C, "Check subcategory", 0)</f>
        <v>Snacks</v>
      </c>
    </row>
    <row r="77">
      <c r="A77" s="2" t="s">
        <v>23</v>
      </c>
      <c r="B77" s="16">
        <v>46228.0</v>
      </c>
      <c r="C77" s="2">
        <v>905.0</v>
      </c>
      <c r="D77" s="7" t="str">
        <f t="array" ref="D77">_xlfn.XLOOKUP(A77, Categories!A:A, Categories!B:B, "Check Category", 0)</f>
        <v>Grocery</v>
      </c>
      <c r="E77" s="7" t="str">
        <f t="array" ref="E77">_xlfn.XLOOKUP(A77, Categories!A:A, Categories!C:C, "Check subcategory", 0)</f>
        <v>Vegetables</v>
      </c>
    </row>
    <row r="78">
      <c r="A78" s="2" t="s">
        <v>25</v>
      </c>
      <c r="B78" s="16">
        <v>46228.0</v>
      </c>
      <c r="C78" s="2">
        <v>642.0</v>
      </c>
      <c r="D78" s="7" t="str">
        <f t="array" ref="D78">_xlfn.XLOOKUP(A78, Categories!A:A, Categories!B:B, "Check Category", 0)</f>
        <v>Provision</v>
      </c>
      <c r="E78" s="7" t="str">
        <f t="array" ref="E78">_xlfn.XLOOKUP(A78, Categories!A:A, Categories!C:C, "Check subcategory", 0)</f>
        <v>Provision</v>
      </c>
    </row>
    <row r="79">
      <c r="A79" s="2" t="s">
        <v>212</v>
      </c>
      <c r="B79" s="16">
        <v>46229.0</v>
      </c>
      <c r="C79" s="2">
        <v>90.0</v>
      </c>
      <c r="D79" s="7" t="str">
        <f t="array" ref="D79">_xlfn.XLOOKUP(A79, Categories!A:A, Categories!B:B, "Check Category", 0)</f>
        <v>Grocery</v>
      </c>
      <c r="E79" s="7" t="str">
        <f t="array" ref="E79">_xlfn.XLOOKUP(A79, Categories!A:A, Categories!C:C, "Check subcategory", 0)</f>
        <v>Readymade</v>
      </c>
    </row>
    <row r="80">
      <c r="A80" s="2" t="s">
        <v>33</v>
      </c>
      <c r="B80" s="16">
        <v>46230.0</v>
      </c>
      <c r="C80" s="2">
        <v>2394.0</v>
      </c>
      <c r="D80" s="7" t="str">
        <f t="array" ref="D80">_xlfn.XLOOKUP(A80, Categories!A:A, Categories!B:B, "Check Category", 0)</f>
        <v>Medicine</v>
      </c>
      <c r="E80" s="7" t="str">
        <f t="array" ref="E80">_xlfn.XLOOKUP(A80, Categories!A:A, Categories!C:C, "Check subcategory", 0)</f>
        <v>Ravi</v>
      </c>
    </row>
    <row r="81">
      <c r="A81" s="2" t="s">
        <v>212</v>
      </c>
      <c r="B81" s="16">
        <v>46230.0</v>
      </c>
      <c r="C81" s="2">
        <v>42.0</v>
      </c>
      <c r="D81" s="7" t="str">
        <f t="array" ref="D81">_xlfn.XLOOKUP(A81, Categories!A:A, Categories!B:B, "Check Category", 0)</f>
        <v>Grocery</v>
      </c>
      <c r="E81" s="7" t="str">
        <f t="array" ref="E81">_xlfn.XLOOKUP(A81, Categories!A:A, Categories!C:C, "Check subcategory", 0)</f>
        <v>Readymade</v>
      </c>
    </row>
    <row r="82">
      <c r="A82" s="2" t="s">
        <v>10</v>
      </c>
      <c r="B82" s="16">
        <v>46230.0</v>
      </c>
      <c r="C82" s="2">
        <v>42.0</v>
      </c>
      <c r="D82" s="7" t="str">
        <f t="array" ref="D82">_xlfn.XLOOKUP(A82, Categories!A:A, Categories!B:B, "Check Category", 0)</f>
        <v>Transport</v>
      </c>
      <c r="E82" s="7" t="str">
        <f t="array" ref="E82">_xlfn.XLOOKUP(A82, Categories!A:A, Categories!C:C, "Check subcategory", 0)</f>
        <v>Bus</v>
      </c>
    </row>
    <row r="83">
      <c r="A83" s="2" t="s">
        <v>99</v>
      </c>
      <c r="B83" s="16">
        <v>46230.0</v>
      </c>
      <c r="C83" s="2">
        <v>1100.0</v>
      </c>
      <c r="D83" s="7" t="str">
        <f t="array" ref="D83">_xlfn.XLOOKUP(A83, Categories!A:A, Categories!B:B, "Check Category", 0)</f>
        <v>Medicine</v>
      </c>
      <c r="E83" s="7" t="str">
        <f t="array" ref="E83">_xlfn.XLOOKUP(A83, Categories!A:A, Categories!C:C, "Check subcategory", 0)</f>
        <v>Ravi</v>
      </c>
    </row>
    <row r="84">
      <c r="A84" s="2" t="s">
        <v>39</v>
      </c>
      <c r="B84" s="16">
        <v>46230.0</v>
      </c>
      <c r="C84" s="2">
        <v>80.0</v>
      </c>
      <c r="D84" s="7" t="str">
        <f t="array" ref="D84">_xlfn.XLOOKUP(A84, Categories!A:A, Categories!B:B, "Check Category", 0)</f>
        <v>Transport</v>
      </c>
      <c r="E84" s="7" t="str">
        <f t="array" ref="E84">_xlfn.XLOOKUP(A84, Categories!A:A, Categories!C:C, "Check subcategory", 0)</f>
        <v>Auto</v>
      </c>
    </row>
    <row r="85">
      <c r="A85" s="2" t="s">
        <v>10</v>
      </c>
      <c r="B85" s="16">
        <v>46231.0</v>
      </c>
      <c r="C85" s="2">
        <v>20.0</v>
      </c>
      <c r="D85" s="7" t="str">
        <f t="array" ref="D85">_xlfn.XLOOKUP(A85, Categories!A:A, Categories!B:B, "Check Category", 0)</f>
        <v>Transport</v>
      </c>
      <c r="E85" s="7" t="str">
        <f t="array" ref="E85">_xlfn.XLOOKUP(A85, Categories!A:A, Categories!C:C, "Check subcategory", 0)</f>
        <v>Bus</v>
      </c>
    </row>
    <row r="86">
      <c r="A86" s="2" t="s">
        <v>39</v>
      </c>
      <c r="B86" s="16">
        <v>46231.0</v>
      </c>
      <c r="C86" s="2">
        <v>200.0</v>
      </c>
      <c r="D86" s="7" t="str">
        <f t="array" ref="D86">_xlfn.XLOOKUP(A86, Categories!A:A, Categories!B:B, "Check Category", 0)</f>
        <v>Transport</v>
      </c>
      <c r="E86" s="7" t="str">
        <f t="array" ref="E86">_xlfn.XLOOKUP(A86, Categories!A:A, Categories!C:C, "Check subcategory", 0)</f>
        <v>Auto</v>
      </c>
    </row>
    <row r="87">
      <c r="A87" s="2" t="s">
        <v>49</v>
      </c>
      <c r="B87" s="16">
        <v>46231.0</v>
      </c>
      <c r="C87" s="2">
        <v>500.0</v>
      </c>
      <c r="D87" s="7" t="str">
        <f t="array" ref="D87">_xlfn.XLOOKUP(A87, Categories!A:A, Categories!B:B, "Check Category", 0)</f>
        <v>Hospital</v>
      </c>
      <c r="E87" s="7" t="str">
        <f t="array" ref="E87">_xlfn.XLOOKUP(A87, Categories!A:A, Categories!C:C, "Check subcategory", 0)</f>
        <v>Prabha</v>
      </c>
    </row>
    <row r="88">
      <c r="A88" s="2" t="s">
        <v>65</v>
      </c>
      <c r="B88" s="16">
        <v>46231.0</v>
      </c>
      <c r="C88" s="2">
        <v>200.0</v>
      </c>
      <c r="D88" s="7" t="str">
        <f t="array" ref="D88">_xlfn.XLOOKUP(A88, Categories!A:A, Categories!B:B, "Check Category", 0)</f>
        <v>Food</v>
      </c>
      <c r="E88" s="7" t="str">
        <f t="array" ref="E88">_xlfn.XLOOKUP(A88, Categories!A:A, Categories!C:C, "Check subcategory", 0)</f>
        <v>Outside</v>
      </c>
    </row>
    <row r="89">
      <c r="A89" s="2" t="s">
        <v>33</v>
      </c>
      <c r="B89" s="16">
        <v>46231.0</v>
      </c>
      <c r="C89" s="2">
        <v>352.0</v>
      </c>
      <c r="D89" s="7" t="str">
        <f t="array" ref="D89">_xlfn.XLOOKUP(A89, Categories!A:A, Categories!B:B, "Check Category", 0)</f>
        <v>Medicine</v>
      </c>
      <c r="E89" s="7" t="str">
        <f t="array" ref="E89">_xlfn.XLOOKUP(A89, Categories!A:A, Categories!C:C, "Check subcategory", 0)</f>
        <v>Ravi</v>
      </c>
    </row>
    <row r="90">
      <c r="A90" s="2" t="s">
        <v>10</v>
      </c>
      <c r="B90" s="16">
        <v>46231.0</v>
      </c>
      <c r="C90" s="2">
        <v>62.0</v>
      </c>
      <c r="D90" s="7" t="str">
        <f t="array" ref="D90">_xlfn.XLOOKUP(A90, Categories!A:A, Categories!B:B, "Check Category", 0)</f>
        <v>Transport</v>
      </c>
      <c r="E90" s="7" t="str">
        <f t="array" ref="E90">_xlfn.XLOOKUP(A90, Categories!A:A, Categories!C:C, "Check subcategory", 0)</f>
        <v>Bus</v>
      </c>
    </row>
    <row r="91">
      <c r="A91" s="2" t="s">
        <v>64</v>
      </c>
      <c r="B91" s="16">
        <v>46231.0</v>
      </c>
      <c r="C91" s="2">
        <v>50.0</v>
      </c>
      <c r="D91" s="7" t="str">
        <f t="array" ref="D91">_xlfn.XLOOKUP(A91, Categories!A:A, Categories!B:B, "Check Category", 0)</f>
        <v>Provision</v>
      </c>
      <c r="E91" s="7" t="str">
        <f t="array" ref="E91">_xlfn.XLOOKUP(A91, Categories!A:A, Categories!C:C, "Check subcategory", 0)</f>
        <v>Snacks</v>
      </c>
    </row>
    <row r="92">
      <c r="A92" s="2" t="s">
        <v>38</v>
      </c>
      <c r="B92" s="16">
        <v>46232.0</v>
      </c>
      <c r="C92" s="2">
        <v>2373.0</v>
      </c>
      <c r="D92" s="7" t="str">
        <f t="array" ref="D92">_xlfn.XLOOKUP(A92, Categories!A:A, Categories!B:B, "Check Category", 0)</f>
        <v>Medicine</v>
      </c>
      <c r="E92" s="7" t="str">
        <f t="array" ref="E92">_xlfn.XLOOKUP(A92, Categories!A:A, Categories!C:C, "Check subcategory", 0)</f>
        <v>Prabha</v>
      </c>
    </row>
    <row r="93">
      <c r="A93" s="2" t="s">
        <v>25</v>
      </c>
      <c r="B93" s="16">
        <v>46232.0</v>
      </c>
      <c r="C93" s="2">
        <v>1005.0</v>
      </c>
      <c r="D93" s="7" t="str">
        <f t="array" ref="D93">_xlfn.XLOOKUP(A93, Categories!A:A, Categories!B:B, "Check Category", 0)</f>
        <v>Provision</v>
      </c>
      <c r="E93" s="7" t="str">
        <f t="array" ref="E93">_xlfn.XLOOKUP(A93, Categories!A:A, Categories!C:C, "Check subcategory", 0)</f>
        <v>Provision</v>
      </c>
    </row>
    <row r="94">
      <c r="A94" s="2" t="s">
        <v>10</v>
      </c>
      <c r="B94" s="16">
        <v>46232.0</v>
      </c>
      <c r="C94" s="2">
        <v>11.0</v>
      </c>
      <c r="D94" s="7" t="str">
        <f t="array" ref="D94">_xlfn.XLOOKUP(A94, Categories!A:A, Categories!B:B, "Check Category", 0)</f>
        <v>Transport</v>
      </c>
      <c r="E94" s="7" t="str">
        <f t="array" ref="E94">_xlfn.XLOOKUP(A94, Categories!A:A, Categories!C:C, "Check subcategory", 0)</f>
        <v>Bus</v>
      </c>
    </row>
    <row r="95">
      <c r="A95" s="2" t="s">
        <v>24</v>
      </c>
      <c r="B95" s="16">
        <v>46232.0</v>
      </c>
      <c r="C95" s="2">
        <v>160.0</v>
      </c>
      <c r="D95" s="7" t="str">
        <f t="array" ref="D95">_xlfn.XLOOKUP(A95, Categories!A:A, Categories!B:B, "Check Category", 0)</f>
        <v>House</v>
      </c>
      <c r="E95" s="7" t="str">
        <f t="array" ref="E95">_xlfn.XLOOKUP(A95, Categories!A:A, Categories!C:C, "Check subcategory", 0)</f>
        <v>Ration</v>
      </c>
    </row>
    <row r="96">
      <c r="A96" s="2" t="s">
        <v>39</v>
      </c>
      <c r="B96" s="16">
        <v>46232.0</v>
      </c>
      <c r="C96" s="2">
        <v>60.0</v>
      </c>
      <c r="D96" s="7" t="str">
        <f t="array" ref="D96">_xlfn.XLOOKUP(A96, Categories!A:A, Categories!B:B, "Check Category", 0)</f>
        <v>Transport</v>
      </c>
      <c r="E96" s="7" t="str">
        <f t="array" ref="E96">_xlfn.XLOOKUP(A96, Categories!A:A, Categories!C:C, "Check subcategory", 0)</f>
        <v>Auto</v>
      </c>
    </row>
    <row r="97">
      <c r="A97" s="2" t="s">
        <v>8</v>
      </c>
      <c r="B97" s="16">
        <v>46232.0</v>
      </c>
      <c r="C97" s="2">
        <v>40.0</v>
      </c>
      <c r="D97" s="7" t="str">
        <f t="array" ref="D97">_xlfn.XLOOKUP(A97, Categories!A:A, Categories!B:B, "Check Category", 0)</f>
        <v>House</v>
      </c>
      <c r="E97" s="7" t="str">
        <f t="array" ref="E97">_xlfn.XLOOKUP(A97, Categories!A:A, Categories!C:C, "Check subcategory", 0)</f>
        <v>Newspaper</v>
      </c>
    </row>
    <row r="98">
      <c r="A98" s="2" t="s">
        <v>95</v>
      </c>
      <c r="B98" s="16">
        <v>46232.0</v>
      </c>
      <c r="C98" s="2">
        <v>38.0</v>
      </c>
      <c r="D98" s="7" t="str">
        <f t="array" ref="D98">_xlfn.XLOOKUP(A98, Categories!A:A, Categories!B:B, "Check Category", 0)</f>
        <v>Personal</v>
      </c>
      <c r="E98" s="7" t="str">
        <f t="array" ref="E98">_xlfn.XLOOKUP(A98, Categories!A:A, Categories!C:C, "Check subcategory", 0)</f>
        <v>Ravi</v>
      </c>
    </row>
    <row r="99">
      <c r="A99" s="2" t="s">
        <v>17</v>
      </c>
      <c r="B99" s="16">
        <v>46232.0</v>
      </c>
      <c r="C99" s="2">
        <v>18.0</v>
      </c>
      <c r="D99" s="7" t="str">
        <f t="array" ref="D99">_xlfn.XLOOKUP(A99, Categories!A:A, Categories!B:B, "Check Category", 0)</f>
        <v>Medicine</v>
      </c>
      <c r="E99" s="7" t="str">
        <f t="array" ref="E99">_xlfn.XLOOKUP(A99, Categories!A:A, Categories!C:C, "Check subcategory", 0)</f>
        <v>Common</v>
      </c>
    </row>
    <row r="100">
      <c r="D100" s="7"/>
      <c r="E100" s="7"/>
    </row>
    <row r="101">
      <c r="B101" s="2" t="s">
        <v>235</v>
      </c>
      <c r="C101" s="13">
        <f>SUM(C2:C99)</f>
        <v>66278</v>
      </c>
    </row>
    <row r="102">
      <c r="B102" s="2" t="s">
        <v>90</v>
      </c>
      <c r="C102" s="2">
        <v>31500.0</v>
      </c>
    </row>
    <row r="103">
      <c r="C103" s="13">
        <f>C101-C102</f>
        <v>34778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3.0"/>
    <col customWidth="1" min="5" max="5" width="15.25"/>
    <col customWidth="1" min="18" max="18" width="18.5"/>
  </cols>
  <sheetData>
    <row r="1">
      <c r="A1" s="1" t="s">
        <v>0</v>
      </c>
      <c r="B1" s="4" t="s">
        <v>1</v>
      </c>
      <c r="C1" s="1" t="s">
        <v>4</v>
      </c>
      <c r="D1" s="1" t="s">
        <v>2</v>
      </c>
      <c r="E1" s="1" t="s">
        <v>3</v>
      </c>
    </row>
    <row r="2">
      <c r="A2" s="7" t="s">
        <v>5</v>
      </c>
      <c r="B2" s="16">
        <v>46235.0</v>
      </c>
      <c r="C2" s="10">
        <v>20.0</v>
      </c>
      <c r="D2" s="7" t="str">
        <f t="array" ref="D2">_xlfn.XLOOKUP(A2, Categories!A:A, Categories!B:B, "Check Category", 0)</f>
        <v>Check Category</v>
      </c>
      <c r="E2" s="7" t="str">
        <f t="array" ref="E2">_xlfn.XLOOKUP(A2, Categories!A:A, Categories!C:C, "Check subcategory", 0)</f>
        <v>Check subcategory</v>
      </c>
    </row>
    <row r="3">
      <c r="A3" s="14" t="s">
        <v>78</v>
      </c>
      <c r="B3" s="16">
        <v>46237.0</v>
      </c>
      <c r="C3" s="15">
        <v>100.0</v>
      </c>
      <c r="D3" s="7" t="str">
        <f t="array" ref="D3">_xlfn.XLOOKUP(A3, Categories!A:A, Categories!B:B, "Check Category", 0)</f>
        <v>Grocery</v>
      </c>
      <c r="E3" s="7" t="str">
        <f t="array" ref="E3">_xlfn.XLOOKUP(A3, Categories!A:A, Categories!C:C, "Check subcategory", 0)</f>
        <v>Readymade</v>
      </c>
    </row>
    <row r="4">
      <c r="A4" s="2" t="s">
        <v>25</v>
      </c>
      <c r="B4" s="16">
        <v>46238.0</v>
      </c>
      <c r="C4" s="2">
        <v>816.0</v>
      </c>
      <c r="D4" s="7" t="str">
        <f t="array" ref="D4">_xlfn.XLOOKUP(A4, Categories!A:A, Categories!B:B, "Check Category", 0)</f>
        <v>Provision</v>
      </c>
      <c r="E4" s="7" t="str">
        <f t="array" ref="E4">_xlfn.XLOOKUP(A4, Categories!A:A, Categories!C:C, "Check subcategory", 0)</f>
        <v>Provision</v>
      </c>
    </row>
    <row r="5">
      <c r="A5" s="2" t="s">
        <v>78</v>
      </c>
      <c r="B5" s="16">
        <v>46239.0</v>
      </c>
      <c r="C5" s="2">
        <v>85.0</v>
      </c>
      <c r="D5" s="7" t="str">
        <f t="array" ref="D5">_xlfn.XLOOKUP(A5, Categories!A:A, Categories!B:B, "Check Category", 0)</f>
        <v>Grocery</v>
      </c>
      <c r="E5" s="7" t="str">
        <f t="array" ref="E5">_xlfn.XLOOKUP(A5, Categories!A:A, Categories!C:C, "Check subcategory", 0)</f>
        <v>Readymade</v>
      </c>
    </row>
    <row r="6">
      <c r="A6" s="2" t="s">
        <v>10</v>
      </c>
      <c r="B6" s="16">
        <v>46240.0</v>
      </c>
      <c r="C6" s="2">
        <v>38.0</v>
      </c>
      <c r="D6" s="7" t="str">
        <f t="array" ref="D6">_xlfn.XLOOKUP(A6, Categories!A:A, Categories!B:B, "Check Category", 0)</f>
        <v>Transport</v>
      </c>
      <c r="E6" s="7" t="str">
        <f t="array" ref="E6">_xlfn.XLOOKUP(A6, Categories!A:A, Categories!C:C, "Check subcategory", 0)</f>
        <v>Bus</v>
      </c>
    </row>
    <row r="7">
      <c r="A7" s="2" t="s">
        <v>39</v>
      </c>
      <c r="B7" s="16">
        <v>46240.0</v>
      </c>
      <c r="C7" s="2">
        <v>80.0</v>
      </c>
      <c r="D7" s="7" t="str">
        <f t="array" ref="D7">_xlfn.XLOOKUP(A7, Categories!A:A, Categories!B:B, "Check Category", 0)</f>
        <v>Transport</v>
      </c>
      <c r="E7" s="7" t="str">
        <f t="array" ref="E7">_xlfn.XLOOKUP(A7, Categories!A:A, Categories!C:C, "Check subcategory", 0)</f>
        <v>Auto</v>
      </c>
    </row>
    <row r="8">
      <c r="A8" s="2" t="s">
        <v>78</v>
      </c>
      <c r="B8" s="16">
        <v>46240.0</v>
      </c>
      <c r="C8" s="2">
        <v>255.0</v>
      </c>
      <c r="D8" s="7" t="str">
        <f t="array" ref="D8">_xlfn.XLOOKUP(A8, Categories!A:A, Categories!B:B, "Check Category", 0)</f>
        <v>Grocery</v>
      </c>
      <c r="E8" s="7" t="str">
        <f t="array" ref="E8">_xlfn.XLOOKUP(A8, Categories!A:A, Categories!C:C, "Check subcategory", 0)</f>
        <v>Readymade</v>
      </c>
    </row>
    <row r="9">
      <c r="A9" s="2" t="s">
        <v>11</v>
      </c>
      <c r="B9" s="16">
        <v>46240.0</v>
      </c>
      <c r="C9" s="2">
        <v>1647.0</v>
      </c>
      <c r="D9" s="7" t="str">
        <f t="array" ref="D9">_xlfn.XLOOKUP(A9, Categories!A:A, Categories!B:B, "Check Category", 0)</f>
        <v>House</v>
      </c>
      <c r="E9" s="7" t="str">
        <f t="array" ref="E9">_xlfn.XLOOKUP(A9, Categories!A:A, Categories!C:C, "Check subcategory", 0)</f>
        <v>Milk</v>
      </c>
    </row>
    <row r="10">
      <c r="A10" s="2" t="s">
        <v>62</v>
      </c>
      <c r="B10" s="16">
        <v>46240.0</v>
      </c>
      <c r="C10" s="2">
        <v>50.0</v>
      </c>
      <c r="D10" s="7" t="str">
        <f t="array" ref="D10">_xlfn.XLOOKUP(A10, Categories!A:A, Categories!B:B, "Check Category", 0)</f>
        <v>Food</v>
      </c>
      <c r="E10" s="7" t="str">
        <f t="array" ref="E10">_xlfn.XLOOKUP(A10, Categories!A:A, Categories!C:C, "Check subcategory", 0)</f>
        <v>Outside</v>
      </c>
    </row>
    <row r="11">
      <c r="A11" s="2" t="s">
        <v>25</v>
      </c>
      <c r="B11" s="16">
        <v>46240.0</v>
      </c>
      <c r="C11" s="2">
        <v>75.0</v>
      </c>
      <c r="D11" s="7" t="str">
        <f t="array" ref="D11">_xlfn.XLOOKUP(A11, Categories!A:A, Categories!B:B, "Check Category", 0)</f>
        <v>Provision</v>
      </c>
      <c r="E11" s="7" t="str">
        <f t="array" ref="E11">_xlfn.XLOOKUP(A11, Categories!A:A, Categories!C:C, "Check subcategory", 0)</f>
        <v>Provision</v>
      </c>
    </row>
    <row r="12">
      <c r="A12" s="2" t="s">
        <v>134</v>
      </c>
      <c r="B12" s="16">
        <v>46240.0</v>
      </c>
      <c r="C12" s="2">
        <v>50.0</v>
      </c>
      <c r="D12" s="14" t="s">
        <v>90</v>
      </c>
      <c r="E12" s="14" t="s">
        <v>134</v>
      </c>
    </row>
    <row r="13">
      <c r="A13" s="2" t="s">
        <v>134</v>
      </c>
      <c r="B13" s="16">
        <v>46240.0</v>
      </c>
      <c r="C13" s="2">
        <v>1499.0</v>
      </c>
      <c r="D13" s="14" t="s">
        <v>90</v>
      </c>
      <c r="E13" s="14" t="s">
        <v>134</v>
      </c>
    </row>
    <row r="14">
      <c r="A14" s="2" t="s">
        <v>210</v>
      </c>
      <c r="B14" s="16">
        <v>46240.0</v>
      </c>
      <c r="C14" s="2">
        <v>213.0</v>
      </c>
      <c r="D14" s="14" t="s">
        <v>90</v>
      </c>
      <c r="E14" s="14" t="s">
        <v>210</v>
      </c>
    </row>
    <row r="15">
      <c r="A15" s="2" t="s">
        <v>134</v>
      </c>
      <c r="B15" s="16">
        <v>46240.0</v>
      </c>
      <c r="C15" s="2">
        <v>2300.0</v>
      </c>
      <c r="D15" s="14" t="s">
        <v>90</v>
      </c>
      <c r="E15" s="14" t="s">
        <v>134</v>
      </c>
    </row>
    <row r="16">
      <c r="A16" s="2" t="s">
        <v>10</v>
      </c>
      <c r="B16" s="16">
        <v>46240.0</v>
      </c>
      <c r="C16" s="2">
        <v>6.0</v>
      </c>
      <c r="D16" s="7" t="str">
        <f t="array" ref="D16">_xlfn.XLOOKUP(A16, Categories!A:A, Categories!B:B, "Check Category", 0)</f>
        <v>Transport</v>
      </c>
      <c r="E16" s="7" t="str">
        <f t="array" ref="E16">_xlfn.XLOOKUP(A16, Categories!A:A, Categories!C:C, "Check subcategory", 0)</f>
        <v>Bus</v>
      </c>
    </row>
    <row r="17">
      <c r="A17" s="2" t="s">
        <v>39</v>
      </c>
      <c r="B17" s="16">
        <v>46240.0</v>
      </c>
      <c r="C17" s="2">
        <v>130.0</v>
      </c>
      <c r="D17" s="7" t="str">
        <f t="array" ref="D17">_xlfn.XLOOKUP(A17, Categories!A:A, Categories!B:B, "Check Category", 0)</f>
        <v>Transport</v>
      </c>
      <c r="E17" s="7" t="str">
        <f t="array" ref="E17">_xlfn.XLOOKUP(A17, Categories!A:A, Categories!C:C, "Check subcategory", 0)</f>
        <v>Auto</v>
      </c>
    </row>
    <row r="18">
      <c r="A18" s="2" t="s">
        <v>10</v>
      </c>
      <c r="B18" s="16">
        <v>46241.0</v>
      </c>
      <c r="C18" s="2">
        <v>14.0</v>
      </c>
      <c r="D18" s="7" t="str">
        <f t="array" ref="D18">_xlfn.XLOOKUP(A18, Categories!A:A, Categories!B:B, "Check Category", 0)</f>
        <v>Transport</v>
      </c>
      <c r="E18" s="7" t="str">
        <f t="array" ref="E18">_xlfn.XLOOKUP(A18, Categories!A:A, Categories!C:C, "Check subcategory", 0)</f>
        <v>Bus</v>
      </c>
    </row>
    <row r="19">
      <c r="A19" s="2" t="s">
        <v>39</v>
      </c>
      <c r="B19" s="16">
        <v>46241.0</v>
      </c>
      <c r="C19" s="2">
        <v>70.0</v>
      </c>
      <c r="D19" s="7" t="str">
        <f t="array" ref="D19">_xlfn.XLOOKUP(A19, Categories!A:A, Categories!B:B, "Check Category", 0)</f>
        <v>Transport</v>
      </c>
      <c r="E19" s="7" t="str">
        <f t="array" ref="E19">_xlfn.XLOOKUP(A19, Categories!A:A, Categories!C:C, "Check subcategory", 0)</f>
        <v>Auto</v>
      </c>
    </row>
    <row r="20">
      <c r="A20" s="2" t="s">
        <v>134</v>
      </c>
      <c r="B20" s="16">
        <v>46241.0</v>
      </c>
      <c r="C20" s="2">
        <v>500.0</v>
      </c>
      <c r="D20" s="14" t="s">
        <v>90</v>
      </c>
      <c r="E20" s="14" t="s">
        <v>134</v>
      </c>
    </row>
    <row r="21">
      <c r="A21" s="2" t="s">
        <v>78</v>
      </c>
      <c r="B21" s="16">
        <v>46241.0</v>
      </c>
      <c r="C21" s="2">
        <v>39.0</v>
      </c>
      <c r="D21" s="7" t="str">
        <f t="array" ref="D21">_xlfn.XLOOKUP(A21, Categories!A:A, Categories!B:B, "Check Category", 0)</f>
        <v>Grocery</v>
      </c>
      <c r="E21" s="7" t="str">
        <f t="array" ref="E21">_xlfn.XLOOKUP(A21, Categories!A:A, Categories!C:C, "Check subcategory", 0)</f>
        <v>Readymade</v>
      </c>
    </row>
    <row r="22">
      <c r="A22" s="2" t="s">
        <v>39</v>
      </c>
      <c r="B22" s="16">
        <v>46242.0</v>
      </c>
      <c r="C22" s="2">
        <v>120.0</v>
      </c>
      <c r="D22" s="7" t="str">
        <f t="array" ref="D22">_xlfn.XLOOKUP(A22, Categories!A:A, Categories!B:B, "Check Category", 0)</f>
        <v>Transport</v>
      </c>
      <c r="E22" s="7" t="str">
        <f t="array" ref="E22">_xlfn.XLOOKUP(A22, Categories!A:A, Categories!C:C, "Check subcategory", 0)</f>
        <v>Auto</v>
      </c>
    </row>
    <row r="23">
      <c r="A23" s="2" t="s">
        <v>23</v>
      </c>
      <c r="B23" s="16">
        <v>46242.0</v>
      </c>
      <c r="C23" s="2">
        <v>890.0</v>
      </c>
      <c r="D23" s="7" t="str">
        <f t="array" ref="D23">_xlfn.XLOOKUP(A23, Categories!A:A, Categories!B:B, "Check Category", 0)</f>
        <v>Grocery</v>
      </c>
      <c r="E23" s="7" t="str">
        <f t="array" ref="E23">_xlfn.XLOOKUP(A23, Categories!A:A, Categories!C:C, "Check subcategory", 0)</f>
        <v>Vegetables</v>
      </c>
    </row>
    <row r="24">
      <c r="A24" s="2" t="s">
        <v>25</v>
      </c>
      <c r="B24" s="16">
        <v>46242.0</v>
      </c>
      <c r="C24" s="2">
        <v>344.0</v>
      </c>
      <c r="D24" s="7" t="str">
        <f t="array" ref="D24">_xlfn.XLOOKUP(A24, Categories!A:A, Categories!B:B, "Check Category", 0)</f>
        <v>Provision</v>
      </c>
      <c r="E24" s="7" t="str">
        <f t="array" ref="E24">_xlfn.XLOOKUP(A24, Categories!A:A, Categories!C:C, "Check subcategory", 0)</f>
        <v>Provision</v>
      </c>
    </row>
    <row r="25">
      <c r="A25" s="2" t="s">
        <v>64</v>
      </c>
      <c r="B25" s="16">
        <v>46242.0</v>
      </c>
      <c r="C25" s="2">
        <v>200.0</v>
      </c>
      <c r="D25" s="7" t="str">
        <f t="array" ref="D25">_xlfn.XLOOKUP(A25, Categories!A:A, Categories!B:B, "Check Category", 0)</f>
        <v>Provision</v>
      </c>
      <c r="E25" s="7" t="str">
        <f t="array" ref="E25">_xlfn.XLOOKUP(A25, Categories!A:A, Categories!C:C, "Check subcategory", 0)</f>
        <v>Snacks</v>
      </c>
    </row>
    <row r="26">
      <c r="A26" s="2" t="s">
        <v>25</v>
      </c>
      <c r="B26" s="16">
        <v>46243.0</v>
      </c>
      <c r="C26" s="2">
        <v>607.0</v>
      </c>
      <c r="D26" s="7" t="str">
        <f t="array" ref="D26">_xlfn.XLOOKUP(A26, Categories!A:A, Categories!B:B, "Check Category", 0)</f>
        <v>Provision</v>
      </c>
      <c r="E26" s="7" t="str">
        <f t="array" ref="E26">_xlfn.XLOOKUP(A26, Categories!A:A, Categories!C:C, "Check subcategory", 0)</f>
        <v>Provision</v>
      </c>
    </row>
    <row r="27">
      <c r="A27" s="2" t="s">
        <v>25</v>
      </c>
      <c r="B27" s="16">
        <v>46243.0</v>
      </c>
      <c r="C27" s="2">
        <v>104.0</v>
      </c>
      <c r="D27" s="14" t="s">
        <v>25</v>
      </c>
      <c r="E27" s="14" t="s">
        <v>25</v>
      </c>
    </row>
    <row r="28">
      <c r="A28" s="2" t="s">
        <v>25</v>
      </c>
      <c r="B28" s="16">
        <v>46244.0</v>
      </c>
      <c r="C28" s="2">
        <v>176.0</v>
      </c>
      <c r="D28" s="7" t="str">
        <f t="array" ref="D28">_xlfn.XLOOKUP(A28, Categories!A:A, Categories!B:B, "Check Category", 0)</f>
        <v>Provision</v>
      </c>
      <c r="E28" s="7" t="str">
        <f t="array" ref="E28">_xlfn.XLOOKUP(A28, Categories!A:A, Categories!C:C, "Check subcategory", 0)</f>
        <v>Provision</v>
      </c>
    </row>
    <row r="29">
      <c r="A29" s="2" t="s">
        <v>25</v>
      </c>
      <c r="B29" s="16">
        <v>46246.0</v>
      </c>
      <c r="C29" s="2">
        <v>706.0</v>
      </c>
      <c r="D29" s="7" t="str">
        <f t="array" ref="D29">_xlfn.XLOOKUP(A29, Categories!A:A, Categories!B:B, "Check Category", 0)</f>
        <v>Provision</v>
      </c>
      <c r="E29" s="7" t="str">
        <f t="array" ref="E29">_xlfn.XLOOKUP(A29, Categories!A:A, Categories!C:C, "Check subcategory", 0)</f>
        <v>Provision</v>
      </c>
    </row>
    <row r="30">
      <c r="A30" s="2" t="s">
        <v>10</v>
      </c>
      <c r="B30" s="16">
        <v>46246.0</v>
      </c>
      <c r="C30" s="2">
        <v>10.0</v>
      </c>
      <c r="D30" s="7" t="str">
        <f t="array" ref="D30">_xlfn.XLOOKUP(A30, Categories!A:A, Categories!B:B, "Check Category", 0)</f>
        <v>Transport</v>
      </c>
      <c r="E30" s="7" t="str">
        <f t="array" ref="E30">_xlfn.XLOOKUP(A30, Categories!A:A, Categories!C:C, "Check subcategory", 0)</f>
        <v>Bus</v>
      </c>
    </row>
    <row r="31">
      <c r="A31" s="2" t="s">
        <v>53</v>
      </c>
      <c r="B31" s="16">
        <v>46246.0</v>
      </c>
      <c r="C31" s="2">
        <v>281.0</v>
      </c>
      <c r="D31" s="7" t="str">
        <f t="array" ref="D31">_xlfn.XLOOKUP(A31, Categories!A:A, Categories!B:B, "Check Category", 0)</f>
        <v>Temple</v>
      </c>
      <c r="E31" s="7" t="str">
        <f t="array" ref="E31">_xlfn.XLOOKUP(A31, Categories!A:A, Categories!C:C, "Check subcategory", 0)</f>
        <v>Pooja</v>
      </c>
    </row>
    <row r="32">
      <c r="A32" s="2" t="s">
        <v>13</v>
      </c>
      <c r="B32" s="16">
        <v>46246.0</v>
      </c>
      <c r="C32" s="2">
        <v>60.0</v>
      </c>
      <c r="D32" s="7" t="str">
        <f t="array" ref="D32">_xlfn.XLOOKUP(A32, Categories!A:A, Categories!B:B, "Check Category", 0)</f>
        <v>Temple</v>
      </c>
      <c r="E32" s="7" t="str">
        <f t="array" ref="E32">_xlfn.XLOOKUP(A32, Categories!A:A, Categories!C:C, "Check subcategory", 0)</f>
        <v>Donation</v>
      </c>
    </row>
    <row r="33">
      <c r="A33" s="2" t="s">
        <v>53</v>
      </c>
      <c r="B33" s="16">
        <v>46246.0</v>
      </c>
      <c r="C33" s="2">
        <v>86.0</v>
      </c>
      <c r="D33" s="7" t="str">
        <f t="array" ref="D33">_xlfn.XLOOKUP(A33, Categories!A:A, Categories!B:B, "Check Category", 0)</f>
        <v>Temple</v>
      </c>
      <c r="E33" s="7" t="str">
        <f t="array" ref="E33">_xlfn.XLOOKUP(A33, Categories!A:A, Categories!C:C, "Check subcategory", 0)</f>
        <v>Pooja</v>
      </c>
    </row>
    <row r="34">
      <c r="A34" s="2" t="s">
        <v>62</v>
      </c>
      <c r="B34" s="16">
        <v>46246.0</v>
      </c>
      <c r="C34" s="2">
        <v>12.0</v>
      </c>
      <c r="D34" s="7" t="str">
        <f t="array" ref="D34">_xlfn.XLOOKUP(A34, Categories!A:A, Categories!B:B, "Check Category", 0)</f>
        <v>Food</v>
      </c>
      <c r="E34" s="7" t="str">
        <f t="array" ref="E34">_xlfn.XLOOKUP(A34, Categories!A:A, Categories!C:C, "Check subcategory", 0)</f>
        <v>Outside</v>
      </c>
    </row>
    <row r="35">
      <c r="A35" s="2" t="s">
        <v>26</v>
      </c>
      <c r="B35" s="16">
        <v>46246.0</v>
      </c>
      <c r="C35" s="2">
        <v>200.0</v>
      </c>
      <c r="D35" s="7" t="str">
        <f t="array" ref="D35">_xlfn.XLOOKUP(A35, Categories!A:A, Categories!B:B, "Check Category", 0)</f>
        <v>House</v>
      </c>
      <c r="E35" s="7" t="str">
        <f t="array" ref="E35">_xlfn.XLOOKUP(A35, Categories!A:A, Categories!C:C, "Check subcategory", 0)</f>
        <v>Common</v>
      </c>
    </row>
    <row r="36">
      <c r="A36" s="2" t="s">
        <v>8</v>
      </c>
      <c r="B36" s="16">
        <v>46246.0</v>
      </c>
      <c r="C36" s="2">
        <v>40.0</v>
      </c>
      <c r="D36" s="7" t="str">
        <f t="array" ref="D36">_xlfn.XLOOKUP(A36, Categories!A:A, Categories!B:B, "Check Category", 0)</f>
        <v>House</v>
      </c>
      <c r="E36" s="7" t="str">
        <f t="array" ref="E36">_xlfn.XLOOKUP(A36, Categories!A:A, Categories!C:C, "Check subcategory", 0)</f>
        <v>Newspaper</v>
      </c>
    </row>
    <row r="37">
      <c r="A37" s="2" t="s">
        <v>53</v>
      </c>
      <c r="B37" s="16">
        <v>46246.0</v>
      </c>
      <c r="C37" s="2">
        <v>120.0</v>
      </c>
      <c r="D37" s="7" t="str">
        <f t="array" ref="D37">_xlfn.XLOOKUP(A37, Categories!A:A, Categories!B:B, "Check Category", 0)</f>
        <v>Temple</v>
      </c>
      <c r="E37" s="7" t="str">
        <f t="array" ref="E37">_xlfn.XLOOKUP(A37, Categories!A:A, Categories!C:C, "Check subcategory", 0)</f>
        <v>Pooja</v>
      </c>
    </row>
    <row r="38">
      <c r="A38" s="2" t="s">
        <v>13</v>
      </c>
      <c r="B38" s="16">
        <v>46246.0</v>
      </c>
      <c r="C38" s="2">
        <v>30.0</v>
      </c>
      <c r="D38" s="7" t="str">
        <f t="array" ref="D38">_xlfn.XLOOKUP(A38, Categories!A:A, Categories!B:B, "Check Category", 0)</f>
        <v>Temple</v>
      </c>
      <c r="E38" s="7" t="str">
        <f t="array" ref="E38">_xlfn.XLOOKUP(A38, Categories!A:A, Categories!C:C, "Check subcategory", 0)</f>
        <v>Donation</v>
      </c>
    </row>
    <row r="39">
      <c r="A39" s="2" t="s">
        <v>78</v>
      </c>
      <c r="B39" s="16">
        <v>46247.0</v>
      </c>
      <c r="C39" s="2">
        <v>45.0</v>
      </c>
      <c r="D39" s="7" t="str">
        <f t="array" ref="D39">_xlfn.XLOOKUP(A39, Categories!A:A, Categories!B:B, "Check Category", 0)</f>
        <v>Grocery</v>
      </c>
      <c r="E39" s="7" t="str">
        <f t="array" ref="E39">_xlfn.XLOOKUP(A39, Categories!A:A, Categories!C:C, "Check subcategory", 0)</f>
        <v>Readymade</v>
      </c>
    </row>
    <row r="40">
      <c r="A40" s="2" t="s">
        <v>25</v>
      </c>
      <c r="B40" s="16">
        <v>46247.0</v>
      </c>
      <c r="C40" s="2">
        <v>40.0</v>
      </c>
      <c r="D40" s="7" t="str">
        <f t="array" ref="D40">_xlfn.XLOOKUP(A40, Categories!A:A, Categories!B:B, "Check Category", 0)</f>
        <v>Provision</v>
      </c>
      <c r="E40" s="7" t="str">
        <f t="array" ref="E40">_xlfn.XLOOKUP(A40, Categories!A:A, Categories!C:C, "Check subcategory", 0)</f>
        <v>Provision</v>
      </c>
    </row>
    <row r="41">
      <c r="A41" s="2" t="s">
        <v>227</v>
      </c>
      <c r="B41" s="16">
        <v>46247.0</v>
      </c>
      <c r="C41" s="2">
        <v>755.0</v>
      </c>
      <c r="D41" s="7" t="str">
        <f t="array" ref="D41">_xlfn.XLOOKUP(A41, Categories!A:A, Categories!B:B, "Check Category", 0)</f>
        <v>Medicine</v>
      </c>
      <c r="E41" s="7" t="str">
        <f t="array" ref="E41">_xlfn.XLOOKUP(A41, Categories!A:A, Categories!C:C, "Check subcategory", 0)</f>
        <v>Ravi</v>
      </c>
    </row>
    <row r="42">
      <c r="A42" s="2" t="s">
        <v>93</v>
      </c>
      <c r="B42" s="16">
        <v>46247.0</v>
      </c>
      <c r="C42" s="2">
        <v>500.0</v>
      </c>
      <c r="D42" s="7" t="str">
        <f t="array" ref="D42">_xlfn.XLOOKUP(A42, Categories!A:A, Categories!B:B, "Check Category", 0)</f>
        <v>Onetime</v>
      </c>
      <c r="E42" s="7" t="str">
        <f t="array" ref="E42">_xlfn.XLOOKUP(A42, Categories!A:A, Categories!C:C, "Check subcategory", 0)</f>
        <v>Gift</v>
      </c>
    </row>
    <row r="43">
      <c r="A43" s="2" t="s">
        <v>23</v>
      </c>
      <c r="B43" s="16">
        <v>46250.0</v>
      </c>
      <c r="C43" s="2">
        <v>50.0</v>
      </c>
      <c r="D43" s="7" t="str">
        <f t="array" ref="D43">_xlfn.XLOOKUP(A43, Categories!A:A, Categories!B:B, "Check Category", 0)</f>
        <v>Grocery</v>
      </c>
      <c r="E43" s="7" t="str">
        <f t="array" ref="E43">_xlfn.XLOOKUP(A43, Categories!A:A, Categories!C:C, "Check subcategory", 0)</f>
        <v>Vegetables</v>
      </c>
    </row>
    <row r="44">
      <c r="A44" s="2" t="s">
        <v>25</v>
      </c>
      <c r="B44" s="16">
        <v>46251.0</v>
      </c>
      <c r="C44" s="2">
        <v>1518.0</v>
      </c>
      <c r="D44" s="7" t="str">
        <f t="array" ref="D44">_xlfn.XLOOKUP(A44, Categories!A:A, Categories!B:B, "Check Category", 0)</f>
        <v>Provision</v>
      </c>
      <c r="E44" s="7" t="str">
        <f t="array" ref="E44">_xlfn.XLOOKUP(A44, Categories!A:A, Categories!C:C, "Check subcategory", 0)</f>
        <v>Provision</v>
      </c>
    </row>
    <row r="45">
      <c r="A45" s="2" t="s">
        <v>78</v>
      </c>
      <c r="B45" s="16">
        <v>46251.0</v>
      </c>
      <c r="C45" s="2">
        <v>30.0</v>
      </c>
      <c r="D45" s="7" t="str">
        <f t="array" ref="D45">_xlfn.XLOOKUP(A45, Categories!A:A, Categories!B:B, "Check Category", 0)</f>
        <v>Grocery</v>
      </c>
      <c r="E45" s="7" t="str">
        <f t="array" ref="E45">_xlfn.XLOOKUP(A45, Categories!A:A, Categories!C:C, "Check subcategory", 0)</f>
        <v>Readymade</v>
      </c>
    </row>
    <row r="46">
      <c r="A46" s="2" t="s">
        <v>10</v>
      </c>
      <c r="B46" s="16">
        <v>46252.0</v>
      </c>
      <c r="C46" s="2">
        <v>5.0</v>
      </c>
      <c r="D46" s="7" t="str">
        <f t="array" ref="D46">_xlfn.XLOOKUP(A46, Categories!A:A, Categories!B:B, "Check Category", 0)</f>
        <v>Transport</v>
      </c>
      <c r="E46" s="7" t="str">
        <f t="array" ref="E46">_xlfn.XLOOKUP(A46, Categories!A:A, Categories!C:C, "Check subcategory", 0)</f>
        <v>Bus</v>
      </c>
    </row>
    <row r="47">
      <c r="A47" s="2" t="s">
        <v>39</v>
      </c>
      <c r="B47" s="16">
        <v>46252.0</v>
      </c>
      <c r="C47" s="2">
        <v>100.0</v>
      </c>
      <c r="D47" s="7" t="str">
        <f t="array" ref="D47">_xlfn.XLOOKUP(A47, Categories!A:A, Categories!B:B, "Check Category", 0)</f>
        <v>Transport</v>
      </c>
      <c r="E47" s="7" t="str">
        <f t="array" ref="E47">_xlfn.XLOOKUP(A47, Categories!A:A, Categories!C:C, "Check subcategory", 0)</f>
        <v>Auto</v>
      </c>
    </row>
    <row r="48">
      <c r="A48" s="2" t="s">
        <v>10</v>
      </c>
      <c r="B48" s="16">
        <v>46252.0</v>
      </c>
      <c r="C48" s="2">
        <v>62.0</v>
      </c>
      <c r="D48" s="7" t="str">
        <f t="array" ref="D48">_xlfn.XLOOKUP(A48, Categories!A:A, Categories!B:B, "Check Category", 0)</f>
        <v>Transport</v>
      </c>
      <c r="E48" s="7" t="str">
        <f t="array" ref="E48">_xlfn.XLOOKUP(A48, Categories!A:A, Categories!C:C, "Check subcategory", 0)</f>
        <v>Bus</v>
      </c>
    </row>
    <row r="49">
      <c r="A49" s="2" t="s">
        <v>13</v>
      </c>
      <c r="B49" s="16">
        <v>46252.0</v>
      </c>
      <c r="C49" s="2">
        <v>100.0</v>
      </c>
      <c r="D49" s="7" t="str">
        <f t="array" ref="D49">_xlfn.XLOOKUP(A49, Categories!A:A, Categories!B:B, "Check Category", 0)</f>
        <v>Temple</v>
      </c>
      <c r="E49" s="7" t="str">
        <f t="array" ref="E49">_xlfn.XLOOKUP(A49, Categories!A:A, Categories!C:C, "Check subcategory", 0)</f>
        <v>Donation</v>
      </c>
    </row>
    <row r="50">
      <c r="A50" s="2" t="s">
        <v>13</v>
      </c>
      <c r="B50" s="16">
        <v>46252.0</v>
      </c>
      <c r="C50" s="2">
        <v>15.0</v>
      </c>
      <c r="D50" s="7" t="str">
        <f t="array" ref="D50">_xlfn.XLOOKUP(A50, Categories!A:A, Categories!B:B, "Check Category", 0)</f>
        <v>Temple</v>
      </c>
      <c r="E50" s="7" t="str">
        <f t="array" ref="E50">_xlfn.XLOOKUP(A50, Categories!A:A, Categories!C:C, "Check subcategory", 0)</f>
        <v>Donation</v>
      </c>
    </row>
    <row r="51">
      <c r="A51" s="2" t="s">
        <v>68</v>
      </c>
      <c r="B51" s="16">
        <v>46252.0</v>
      </c>
      <c r="C51" s="2">
        <v>110.0</v>
      </c>
      <c r="D51" s="7" t="str">
        <f t="array" ref="D51">_xlfn.XLOOKUP(A51, Categories!A:A, Categories!B:B, "Check Category", 0)</f>
        <v>Food</v>
      </c>
      <c r="E51" s="7" t="str">
        <f t="array" ref="E51">_xlfn.XLOOKUP(A51, Categories!A:A, Categories!C:C, "Check subcategory", 0)</f>
        <v>Outside</v>
      </c>
    </row>
    <row r="52">
      <c r="A52" s="2" t="s">
        <v>13</v>
      </c>
      <c r="B52" s="16">
        <v>46252.0</v>
      </c>
      <c r="C52" s="2">
        <v>20.0</v>
      </c>
      <c r="D52" s="7" t="str">
        <f t="array" ref="D52">_xlfn.XLOOKUP(A52, Categories!A:A, Categories!B:B, "Check Category", 0)</f>
        <v>Temple</v>
      </c>
      <c r="E52" s="7" t="str">
        <f t="array" ref="E52">_xlfn.XLOOKUP(A52, Categories!A:A, Categories!C:C, "Check subcategory", 0)</f>
        <v>Donation</v>
      </c>
    </row>
    <row r="53">
      <c r="A53" s="2" t="s">
        <v>55</v>
      </c>
      <c r="B53" s="16">
        <v>46252.0</v>
      </c>
      <c r="C53" s="2">
        <v>40.0</v>
      </c>
      <c r="D53" s="7" t="str">
        <f t="array" ref="D53">_xlfn.XLOOKUP(A53, Categories!A:A, Categories!B:B, "Check Category", 0)</f>
        <v>Food</v>
      </c>
      <c r="E53" s="7" t="str">
        <f t="array" ref="E53">_xlfn.XLOOKUP(A53, Categories!A:A, Categories!C:C, "Check subcategory", 0)</f>
        <v>Outside</v>
      </c>
    </row>
    <row r="54">
      <c r="A54" s="2" t="s">
        <v>10</v>
      </c>
      <c r="B54" s="16">
        <v>46252.0</v>
      </c>
      <c r="C54" s="2">
        <v>62.0</v>
      </c>
      <c r="D54" s="7" t="str">
        <f t="array" ref="D54">_xlfn.XLOOKUP(A54, Categories!A:A, Categories!B:B, "Check Category", 0)</f>
        <v>Transport</v>
      </c>
      <c r="E54" s="7" t="str">
        <f t="array" ref="E54">_xlfn.XLOOKUP(A54, Categories!A:A, Categories!C:C, "Check subcategory", 0)</f>
        <v>Bus</v>
      </c>
    </row>
    <row r="55">
      <c r="A55" s="2" t="s">
        <v>39</v>
      </c>
      <c r="B55" s="16">
        <v>46252.0</v>
      </c>
      <c r="C55" s="2">
        <v>150.0</v>
      </c>
      <c r="D55" s="7" t="str">
        <f t="array" ref="D55">_xlfn.XLOOKUP(A55, Categories!A:A, Categories!B:B, "Check Category", 0)</f>
        <v>Transport</v>
      </c>
      <c r="E55" s="7" t="str">
        <f t="array" ref="E55">_xlfn.XLOOKUP(A55, Categories!A:A, Categories!C:C, "Check subcategory", 0)</f>
        <v>Auto</v>
      </c>
    </row>
    <row r="56">
      <c r="A56" s="2" t="s">
        <v>25</v>
      </c>
      <c r="B56" s="16">
        <v>46252.0</v>
      </c>
      <c r="C56" s="2">
        <v>375.0</v>
      </c>
      <c r="D56" s="7" t="str">
        <f t="array" ref="D56">_xlfn.XLOOKUP(A56, Categories!A:A, Categories!B:B, "Check Category", 0)</f>
        <v>Provision</v>
      </c>
      <c r="E56" s="7" t="str">
        <f t="array" ref="E56">_xlfn.XLOOKUP(A56, Categories!A:A, Categories!C:C, "Check subcategory", 0)</f>
        <v>Provision</v>
      </c>
    </row>
    <row r="57">
      <c r="A57" s="2" t="s">
        <v>10</v>
      </c>
      <c r="B57" s="16">
        <v>46253.0</v>
      </c>
      <c r="C57" s="2">
        <v>10.0</v>
      </c>
      <c r="D57" s="7" t="str">
        <f t="array" ref="D57">_xlfn.XLOOKUP(A57, Categories!A:A, Categories!B:B, "Check Category", 0)</f>
        <v>Transport</v>
      </c>
      <c r="E57" s="7" t="str">
        <f t="array" ref="E57">_xlfn.XLOOKUP(A57, Categories!A:A, Categories!C:C, "Check subcategory", 0)</f>
        <v>Bus</v>
      </c>
    </row>
    <row r="58">
      <c r="A58" s="2" t="s">
        <v>13</v>
      </c>
      <c r="B58" s="16">
        <v>46253.0</v>
      </c>
      <c r="C58" s="2">
        <v>5.0</v>
      </c>
      <c r="D58" s="7" t="str">
        <f t="array" ref="D58">_xlfn.XLOOKUP(A58, Categories!A:A, Categories!B:B, "Check Category", 0)</f>
        <v>Temple</v>
      </c>
      <c r="E58" s="7" t="str">
        <f t="array" ref="E58">_xlfn.XLOOKUP(A58, Categories!A:A, Categories!C:C, "Check subcategory", 0)</f>
        <v>Donation</v>
      </c>
    </row>
    <row r="59">
      <c r="A59" s="2" t="s">
        <v>97</v>
      </c>
      <c r="B59" s="16">
        <v>46254.0</v>
      </c>
      <c r="C59" s="2">
        <v>216.0</v>
      </c>
      <c r="D59" s="7" t="str">
        <f t="array" ref="D59">_xlfn.XLOOKUP(A59, Categories!A:A, Categories!B:B, "Check Category", 0)</f>
        <v>Personal</v>
      </c>
      <c r="E59" s="7" t="str">
        <f t="array" ref="E59">_xlfn.XLOOKUP(A59, Categories!A:A, Categories!C:C, "Check subcategory", 0)</f>
        <v>Prabha</v>
      </c>
    </row>
    <row r="60">
      <c r="A60" s="2" t="s">
        <v>25</v>
      </c>
      <c r="B60" s="16">
        <v>46254.0</v>
      </c>
      <c r="C60" s="2">
        <v>274.0</v>
      </c>
      <c r="D60" s="7" t="str">
        <f t="array" ref="D60">_xlfn.XLOOKUP(A60, Categories!A:A, Categories!B:B, "Check Category", 0)</f>
        <v>Provision</v>
      </c>
      <c r="E60" s="7" t="str">
        <f t="array" ref="E60">_xlfn.XLOOKUP(A60, Categories!A:A, Categories!C:C, "Check subcategory", 0)</f>
        <v>Provision</v>
      </c>
    </row>
    <row r="61">
      <c r="A61" s="2" t="s">
        <v>39</v>
      </c>
      <c r="B61" s="16">
        <v>46254.0</v>
      </c>
      <c r="C61" s="2">
        <v>50.0</v>
      </c>
      <c r="D61" s="7" t="str">
        <f t="array" ref="D61">_xlfn.XLOOKUP(A61, Categories!A:A, Categories!B:B, "Check Category", 0)</f>
        <v>Transport</v>
      </c>
      <c r="E61" s="7" t="str">
        <f t="array" ref="E61">_xlfn.XLOOKUP(A61, Categories!A:A, Categories!C:C, "Check subcategory", 0)</f>
        <v>Auto</v>
      </c>
    </row>
    <row r="62">
      <c r="A62" s="2" t="s">
        <v>27</v>
      </c>
      <c r="B62" s="16">
        <v>46254.0</v>
      </c>
      <c r="C62" s="2">
        <v>10.0</v>
      </c>
      <c r="D62" s="7" t="str">
        <f t="array" ref="D62">_xlfn.XLOOKUP(A62, Categories!A:A, Categories!B:B, "Check Category", 0)</f>
        <v>Grocery</v>
      </c>
      <c r="E62" s="7" t="str">
        <f t="array" ref="E62">_xlfn.XLOOKUP(A62, Categories!A:A, Categories!C:C, "Check subcategory", 0)</f>
        <v>Fruits</v>
      </c>
    </row>
    <row r="63">
      <c r="A63" s="2" t="s">
        <v>53</v>
      </c>
      <c r="B63" s="16">
        <v>46254.0</v>
      </c>
      <c r="C63" s="2">
        <v>285.0</v>
      </c>
      <c r="D63" s="7" t="str">
        <f t="array" ref="D63">_xlfn.XLOOKUP(A63, Categories!A:A, Categories!B:B, "Check Category", 0)</f>
        <v>Temple</v>
      </c>
      <c r="E63" s="7" t="str">
        <f t="array" ref="E63">_xlfn.XLOOKUP(A63, Categories!A:A, Categories!C:C, "Check subcategory", 0)</f>
        <v>Pooja</v>
      </c>
    </row>
    <row r="64">
      <c r="A64" s="2" t="s">
        <v>25</v>
      </c>
      <c r="B64" s="16">
        <v>46254.0</v>
      </c>
      <c r="C64" s="2">
        <v>140.0</v>
      </c>
      <c r="D64" s="7" t="str">
        <f t="array" ref="D64">_xlfn.XLOOKUP(A64, Categories!A:A, Categories!B:B, "Check Category", 0)</f>
        <v>Provision</v>
      </c>
      <c r="E64" s="7" t="str">
        <f t="array" ref="E64">_xlfn.XLOOKUP(A64, Categories!A:A, Categories!C:C, "Check subcategory", 0)</f>
        <v>Provision</v>
      </c>
    </row>
    <row r="65">
      <c r="A65" s="2" t="s">
        <v>10</v>
      </c>
      <c r="B65" s="16">
        <v>46254.0</v>
      </c>
      <c r="C65" s="2">
        <v>26.0</v>
      </c>
      <c r="D65" s="7" t="str">
        <f t="array" ref="D65">_xlfn.XLOOKUP(A65, Categories!A:A, Categories!B:B, "Check Category", 0)</f>
        <v>Transport</v>
      </c>
      <c r="E65" s="7" t="str">
        <f t="array" ref="E65">_xlfn.XLOOKUP(A65, Categories!A:A, Categories!C:C, "Check subcategory", 0)</f>
        <v>Bus</v>
      </c>
    </row>
    <row r="66">
      <c r="A66" s="2" t="s">
        <v>53</v>
      </c>
      <c r="B66" s="16">
        <v>46254.0</v>
      </c>
      <c r="C66" s="2">
        <v>60.0</v>
      </c>
      <c r="D66" s="7" t="str">
        <f t="array" ref="D66">_xlfn.XLOOKUP(A66, Categories!A:A, Categories!B:B, "Check Category", 0)</f>
        <v>Temple</v>
      </c>
      <c r="E66" s="7" t="str">
        <f t="array" ref="E66">_xlfn.XLOOKUP(A66, Categories!A:A, Categories!C:C, "Check subcategory", 0)</f>
        <v>Pooja</v>
      </c>
    </row>
    <row r="67">
      <c r="A67" s="2" t="s">
        <v>78</v>
      </c>
      <c r="B67" s="16">
        <v>46254.0</v>
      </c>
      <c r="C67" s="2">
        <v>46.0</v>
      </c>
      <c r="D67" s="7" t="str">
        <f t="array" ref="D67">_xlfn.XLOOKUP(A67, Categories!A:A, Categories!B:B, "Check Category", 0)</f>
        <v>Grocery</v>
      </c>
      <c r="E67" s="7" t="str">
        <f t="array" ref="E67">_xlfn.XLOOKUP(A67, Categories!A:A, Categories!C:C, "Check subcategory", 0)</f>
        <v>Readymade</v>
      </c>
    </row>
    <row r="68">
      <c r="A68" s="2" t="s">
        <v>23</v>
      </c>
      <c r="B68" s="16">
        <v>46256.0</v>
      </c>
      <c r="C68" s="2">
        <v>634.0</v>
      </c>
      <c r="D68" s="7" t="str">
        <f t="array" ref="D68">_xlfn.XLOOKUP(A68, Categories!A:A, Categories!B:B, "Check Category", 0)</f>
        <v>Grocery</v>
      </c>
      <c r="E68" s="7" t="str">
        <f t="array" ref="E68">_xlfn.XLOOKUP(A68, Categories!A:A, Categories!C:C, "Check subcategory", 0)</f>
        <v>Vegetables</v>
      </c>
    </row>
    <row r="69">
      <c r="A69" s="2" t="s">
        <v>39</v>
      </c>
      <c r="B69" s="16">
        <v>46256.0</v>
      </c>
      <c r="C69" s="2">
        <v>230.0</v>
      </c>
      <c r="D69" s="7" t="str">
        <f t="array" ref="D69">_xlfn.XLOOKUP(A69, Categories!A:A, Categories!B:B, "Check Category", 0)</f>
        <v>Transport</v>
      </c>
      <c r="E69" s="7" t="str">
        <f t="array" ref="E69">_xlfn.XLOOKUP(A69, Categories!A:A, Categories!C:C, "Check subcategory", 0)</f>
        <v>Auto</v>
      </c>
    </row>
    <row r="70">
      <c r="A70" s="2" t="s">
        <v>39</v>
      </c>
      <c r="B70" s="16">
        <v>46257.0</v>
      </c>
      <c r="C70" s="2">
        <v>150.0</v>
      </c>
      <c r="D70" s="7" t="str">
        <f t="array" ref="D70">_xlfn.XLOOKUP(A70, Categories!A:A, Categories!B:B, "Check Category", 0)</f>
        <v>Transport</v>
      </c>
      <c r="E70" s="7" t="str">
        <f t="array" ref="E70">_xlfn.XLOOKUP(A70, Categories!A:A, Categories!C:C, "Check subcategory", 0)</f>
        <v>Auto</v>
      </c>
    </row>
    <row r="71">
      <c r="A71" s="2" t="s">
        <v>93</v>
      </c>
      <c r="B71" s="16">
        <v>46257.0</v>
      </c>
      <c r="C71" s="2">
        <v>330.0</v>
      </c>
      <c r="D71" s="7" t="str">
        <f t="array" ref="D71">_xlfn.XLOOKUP(A71, Categories!A:A, Categories!B:B, "Check Category", 0)</f>
        <v>Onetime</v>
      </c>
      <c r="E71" s="7" t="str">
        <f t="array" ref="E71">_xlfn.XLOOKUP(A71, Categories!A:A, Categories!C:C, "Check subcategory", 0)</f>
        <v>Gift</v>
      </c>
    </row>
    <row r="72">
      <c r="A72" s="2" t="s">
        <v>39</v>
      </c>
      <c r="B72" s="16">
        <v>46257.0</v>
      </c>
      <c r="C72" s="2">
        <v>900.0</v>
      </c>
      <c r="D72" s="7" t="str">
        <f t="array" ref="D72">_xlfn.XLOOKUP(A72, Categories!A:A, Categories!B:B, "Check Category", 0)</f>
        <v>Transport</v>
      </c>
      <c r="E72" s="7" t="str">
        <f t="array" ref="E72">_xlfn.XLOOKUP(A72, Categories!A:A, Categories!C:C, "Check subcategory", 0)</f>
        <v>Auto</v>
      </c>
    </row>
    <row r="73">
      <c r="A73" s="2" t="s">
        <v>93</v>
      </c>
      <c r="B73" s="16">
        <v>46257.0</v>
      </c>
      <c r="C73" s="2">
        <v>367.0</v>
      </c>
      <c r="D73" s="7" t="str">
        <f t="array" ref="D73">_xlfn.XLOOKUP(A73, Categories!A:A, Categories!B:B, "Check Category", 0)</f>
        <v>Onetime</v>
      </c>
      <c r="E73" s="7" t="str">
        <f t="array" ref="E73">_xlfn.XLOOKUP(A73, Categories!A:A, Categories!C:C, "Check subcategory", 0)</f>
        <v>Gift</v>
      </c>
    </row>
    <row r="74">
      <c r="A74" s="2" t="s">
        <v>93</v>
      </c>
      <c r="B74" s="16">
        <v>46257.0</v>
      </c>
      <c r="C74" s="2">
        <v>176.0</v>
      </c>
      <c r="D74" s="7" t="str">
        <f t="array" ref="D74">_xlfn.XLOOKUP(A74, Categories!A:A, Categories!B:B, "Check Category", 0)</f>
        <v>Onetime</v>
      </c>
      <c r="E74" s="7" t="str">
        <f t="array" ref="E74">_xlfn.XLOOKUP(A74, Categories!A:A, Categories!C:C, "Check subcategory", 0)</f>
        <v>Gift</v>
      </c>
    </row>
    <row r="75">
      <c r="A75" s="2" t="s">
        <v>93</v>
      </c>
      <c r="B75" s="16">
        <v>46257.0</v>
      </c>
      <c r="C75" s="2">
        <v>495.0</v>
      </c>
      <c r="D75" s="7" t="str">
        <f t="array" ref="D75">_xlfn.XLOOKUP(A75, Categories!A:A, Categories!B:B, "Check Category", 0)</f>
        <v>Onetime</v>
      </c>
      <c r="E75" s="7" t="str">
        <f t="array" ref="E75">_xlfn.XLOOKUP(A75, Categories!A:A, Categories!C:C, "Check subcategory", 0)</f>
        <v>Gift</v>
      </c>
    </row>
    <row r="76">
      <c r="A76" s="2" t="s">
        <v>93</v>
      </c>
      <c r="B76" s="16">
        <v>46257.0</v>
      </c>
      <c r="C76" s="2">
        <v>330.0</v>
      </c>
      <c r="D76" s="7" t="str">
        <f t="array" ref="D76">_xlfn.XLOOKUP(A76, Categories!A:A, Categories!B:B, "Check Category", 0)</f>
        <v>Onetime</v>
      </c>
      <c r="E76" s="7" t="str">
        <f t="array" ref="E76">_xlfn.XLOOKUP(A76, Categories!A:A, Categories!C:C, "Check subcategory", 0)</f>
        <v>Gift</v>
      </c>
    </row>
    <row r="77">
      <c r="A77" s="2" t="s">
        <v>39</v>
      </c>
      <c r="B77" s="16">
        <v>46257.0</v>
      </c>
      <c r="C77" s="2">
        <v>150.0</v>
      </c>
      <c r="D77" s="7" t="str">
        <f t="array" ref="D77">_xlfn.XLOOKUP(A77, Categories!A:A, Categories!B:B, "Check Category", 0)</f>
        <v>Transport</v>
      </c>
      <c r="E77" s="7" t="str">
        <f t="array" ref="E77">_xlfn.XLOOKUP(A77, Categories!A:A, Categories!C:C, "Check subcategory", 0)</f>
        <v>Auto</v>
      </c>
    </row>
    <row r="78">
      <c r="A78" s="2" t="s">
        <v>93</v>
      </c>
      <c r="B78" s="16">
        <v>46258.0</v>
      </c>
      <c r="C78" s="2">
        <v>446.0</v>
      </c>
      <c r="D78" s="7" t="str">
        <f t="array" ref="D78">_xlfn.XLOOKUP(A78, Categories!A:A, Categories!B:B, "Check Category", 0)</f>
        <v>Onetime</v>
      </c>
      <c r="E78" s="7" t="str">
        <f t="array" ref="E78">_xlfn.XLOOKUP(A78, Categories!A:A, Categories!C:C, "Check subcategory", 0)</f>
        <v>Gift</v>
      </c>
    </row>
    <row r="79">
      <c r="A79" s="2" t="s">
        <v>39</v>
      </c>
      <c r="B79" s="16">
        <v>46258.0</v>
      </c>
      <c r="C79" s="2">
        <v>120.0</v>
      </c>
      <c r="D79" s="7" t="str">
        <f t="array" ref="D79">_xlfn.XLOOKUP(A79, Categories!A:A, Categories!B:B, "Check Category", 0)</f>
        <v>Transport</v>
      </c>
      <c r="E79" s="7" t="str">
        <f t="array" ref="E79">_xlfn.XLOOKUP(A79, Categories!A:A, Categories!C:C, "Check subcategory", 0)</f>
        <v>Auto</v>
      </c>
    </row>
    <row r="80">
      <c r="A80" s="2" t="s">
        <v>39</v>
      </c>
      <c r="B80" s="16">
        <v>46258.0</v>
      </c>
      <c r="C80" s="2">
        <v>260.0</v>
      </c>
      <c r="D80" s="7" t="str">
        <f t="array" ref="D80">_xlfn.XLOOKUP(A80, Categories!A:A, Categories!B:B, "Check Category", 0)</f>
        <v>Transport</v>
      </c>
      <c r="E80" s="7" t="str">
        <f t="array" ref="E80">_xlfn.XLOOKUP(A80, Categories!A:A, Categories!C:C, "Check subcategory", 0)</f>
        <v>Auto</v>
      </c>
    </row>
    <row r="81">
      <c r="A81" s="2" t="s">
        <v>39</v>
      </c>
      <c r="B81" s="16">
        <v>46258.0</v>
      </c>
      <c r="C81" s="2">
        <v>200.0</v>
      </c>
      <c r="D81" s="7" t="str">
        <f t="array" ref="D81">_xlfn.XLOOKUP(A81, Categories!A:A, Categories!B:B, "Check Category", 0)</f>
        <v>Transport</v>
      </c>
      <c r="E81" s="7" t="str">
        <f t="array" ref="E81">_xlfn.XLOOKUP(A81, Categories!A:A, Categories!C:C, "Check subcategory", 0)</f>
        <v>Auto</v>
      </c>
    </row>
    <row r="82">
      <c r="A82" s="2" t="s">
        <v>39</v>
      </c>
      <c r="B82" s="16">
        <v>46258.0</v>
      </c>
      <c r="C82" s="2">
        <v>100.0</v>
      </c>
      <c r="D82" s="7" t="str">
        <f t="array" ref="D82">_xlfn.XLOOKUP(A82, Categories!A:A, Categories!B:B, "Check Category", 0)</f>
        <v>Transport</v>
      </c>
      <c r="E82" s="7" t="str">
        <f t="array" ref="E82">_xlfn.XLOOKUP(A82, Categories!A:A, Categories!C:C, "Check subcategory", 0)</f>
        <v>Auto</v>
      </c>
    </row>
    <row r="83">
      <c r="A83" s="2" t="s">
        <v>65</v>
      </c>
      <c r="B83" s="16">
        <v>46259.0</v>
      </c>
      <c r="C83" s="2">
        <v>468.0</v>
      </c>
      <c r="D83" s="7" t="str">
        <f t="array" ref="D83">_xlfn.XLOOKUP(A83, Categories!A:A, Categories!B:B, "Check Category", 0)</f>
        <v>Food</v>
      </c>
      <c r="E83" s="7" t="str">
        <f t="array" ref="E83">_xlfn.XLOOKUP(A83, Categories!A:A, Categories!C:C, "Check subcategory", 0)</f>
        <v>Outside</v>
      </c>
    </row>
    <row r="84">
      <c r="A84" s="2" t="s">
        <v>64</v>
      </c>
      <c r="B84" s="16">
        <v>46259.0</v>
      </c>
      <c r="C84" s="2">
        <v>375.0</v>
      </c>
      <c r="D84" s="7" t="str">
        <f t="array" ref="D84">_xlfn.XLOOKUP(A84, Categories!A:A, Categories!B:B, "Check Category", 0)</f>
        <v>Provision</v>
      </c>
      <c r="E84" s="7" t="str">
        <f t="array" ref="E84">_xlfn.XLOOKUP(A84, Categories!A:A, Categories!C:C, "Check subcategory", 0)</f>
        <v>Snacks</v>
      </c>
    </row>
    <row r="85">
      <c r="A85" s="2" t="s">
        <v>39</v>
      </c>
      <c r="B85" s="16">
        <v>46259.0</v>
      </c>
      <c r="C85" s="2">
        <v>350.0</v>
      </c>
      <c r="D85" s="7" t="str">
        <f t="array" ref="D85">_xlfn.XLOOKUP(A85, Categories!A:A, Categories!B:B, "Check Category", 0)</f>
        <v>Transport</v>
      </c>
      <c r="E85" s="7" t="str">
        <f t="array" ref="E85">_xlfn.XLOOKUP(A85, Categories!A:A, Categories!C:C, "Check subcategory", 0)</f>
        <v>Auto</v>
      </c>
    </row>
    <row r="86">
      <c r="A86" s="2" t="s">
        <v>78</v>
      </c>
      <c r="B86" s="16">
        <v>46259.0</v>
      </c>
      <c r="C86" s="2">
        <v>24.0</v>
      </c>
      <c r="D86" s="7" t="str">
        <f t="array" ref="D86">_xlfn.XLOOKUP(A86, Categories!A:A, Categories!B:B, "Check Category", 0)</f>
        <v>Grocery</v>
      </c>
      <c r="E86" s="7" t="str">
        <f t="array" ref="E86">_xlfn.XLOOKUP(A86, Categories!A:A, Categories!C:C, "Check subcategory", 0)</f>
        <v>Readymade</v>
      </c>
    </row>
    <row r="87">
      <c r="A87" s="2" t="s">
        <v>23</v>
      </c>
      <c r="B87" s="16">
        <v>46260.0</v>
      </c>
      <c r="C87" s="2">
        <v>41.0</v>
      </c>
      <c r="D87" s="7" t="str">
        <f t="array" ref="D87">_xlfn.XLOOKUP(A87, Categories!A:A, Categories!B:B, "Check Category", 0)</f>
        <v>Grocery</v>
      </c>
      <c r="E87" s="7" t="str">
        <f t="array" ref="E87">_xlfn.XLOOKUP(A87, Categories!A:A, Categories!C:C, "Check subcategory", 0)</f>
        <v>Vegetables</v>
      </c>
    </row>
    <row r="88">
      <c r="A88" s="2" t="s">
        <v>53</v>
      </c>
      <c r="B88" s="16">
        <v>46260.0</v>
      </c>
      <c r="C88" s="2">
        <v>239.0</v>
      </c>
      <c r="D88" s="7" t="str">
        <f t="array" ref="D88">_xlfn.XLOOKUP(A88, Categories!A:A, Categories!B:B, "Check Category", 0)</f>
        <v>Temple</v>
      </c>
      <c r="E88" s="7" t="str">
        <f t="array" ref="E88">_xlfn.XLOOKUP(A88, Categories!A:A, Categories!C:C, "Check subcategory", 0)</f>
        <v>Pooja</v>
      </c>
    </row>
    <row r="89">
      <c r="A89" s="2" t="s">
        <v>39</v>
      </c>
      <c r="B89" s="16">
        <v>46261.0</v>
      </c>
      <c r="C89" s="2">
        <v>140.0</v>
      </c>
      <c r="D89" s="7" t="str">
        <f t="array" ref="D89">_xlfn.XLOOKUP(A89, Categories!A:A, Categories!B:B, "Check Category", 0)</f>
        <v>Transport</v>
      </c>
      <c r="E89" s="7" t="str">
        <f t="array" ref="E89">_xlfn.XLOOKUP(A89, Categories!A:A, Categories!C:C, "Check subcategory", 0)</f>
        <v>Auto</v>
      </c>
    </row>
    <row r="90">
      <c r="A90" s="2" t="s">
        <v>55</v>
      </c>
      <c r="B90" s="16">
        <v>46261.0</v>
      </c>
      <c r="C90" s="2">
        <v>22.0</v>
      </c>
      <c r="D90" s="7" t="str">
        <f t="array" ref="D90">_xlfn.XLOOKUP(A90, Categories!A:A, Categories!B:B, "Check Category", 0)</f>
        <v>Food</v>
      </c>
      <c r="E90" s="7" t="str">
        <f t="array" ref="E90">_xlfn.XLOOKUP(A90, Categories!A:A, Categories!C:C, "Check subcategory", 0)</f>
        <v>Outside</v>
      </c>
    </row>
    <row r="91">
      <c r="A91" s="2" t="s">
        <v>10</v>
      </c>
      <c r="B91" s="16">
        <v>46261.0</v>
      </c>
      <c r="C91" s="2">
        <v>8.0</v>
      </c>
      <c r="D91" s="7" t="str">
        <f t="array" ref="D91">_xlfn.XLOOKUP(A91, Categories!A:A, Categories!B:B, "Check Category", 0)</f>
        <v>Transport</v>
      </c>
      <c r="E91" s="7" t="str">
        <f t="array" ref="E91">_xlfn.XLOOKUP(A91, Categories!A:A, Categories!C:C, "Check subcategory", 0)</f>
        <v>Bus</v>
      </c>
    </row>
    <row r="92">
      <c r="A92" s="2" t="s">
        <v>39</v>
      </c>
      <c r="B92" s="16">
        <v>46261.0</v>
      </c>
      <c r="C92" s="2">
        <v>110.0</v>
      </c>
      <c r="D92" s="7" t="str">
        <f t="array" ref="D92">_xlfn.XLOOKUP(A92, Categories!A:A, Categories!B:B, "Check Category", 0)</f>
        <v>Transport</v>
      </c>
      <c r="E92" s="7" t="str">
        <f t="array" ref="E92">_xlfn.XLOOKUP(A92, Categories!A:A, Categories!C:C, "Check subcategory", 0)</f>
        <v>Auto</v>
      </c>
    </row>
    <row r="93">
      <c r="A93" s="2" t="s">
        <v>24</v>
      </c>
      <c r="B93" s="16">
        <v>46261.0</v>
      </c>
      <c r="C93" s="2">
        <v>150.0</v>
      </c>
      <c r="D93" s="7" t="str">
        <f t="array" ref="D93">_xlfn.XLOOKUP(A93, Categories!A:A, Categories!B:B, "Check Category", 0)</f>
        <v>House</v>
      </c>
      <c r="E93" s="7" t="str">
        <f t="array" ref="E93">_xlfn.XLOOKUP(A93, Categories!A:A, Categories!C:C, "Check subcategory", 0)</f>
        <v>Ration</v>
      </c>
    </row>
    <row r="94">
      <c r="A94" s="2" t="s">
        <v>64</v>
      </c>
      <c r="B94" s="16">
        <v>46261.0</v>
      </c>
      <c r="C94" s="2">
        <v>120.0</v>
      </c>
      <c r="D94" s="7" t="str">
        <f t="array" ref="D94">_xlfn.XLOOKUP(A94, Categories!A:A, Categories!B:B, "Check Category", 0)</f>
        <v>Provision</v>
      </c>
      <c r="E94" s="7" t="str">
        <f t="array" ref="E94">_xlfn.XLOOKUP(A94, Categories!A:A, Categories!C:C, "Check subcategory", 0)</f>
        <v>Snacks</v>
      </c>
    </row>
    <row r="95">
      <c r="A95" s="2" t="s">
        <v>15</v>
      </c>
      <c r="B95" s="16">
        <v>46262.0</v>
      </c>
      <c r="C95" s="2">
        <v>990.0</v>
      </c>
      <c r="D95" s="7" t="str">
        <f t="array" ref="D95">_xlfn.XLOOKUP(A95, Categories!A:A, Categories!B:B, "Check Category", 0)</f>
        <v>House</v>
      </c>
      <c r="E95" s="7" t="str">
        <f t="array" ref="E95">_xlfn.XLOOKUP(A95, Categories!A:A, Categories!C:C, "Check subcategory", 0)</f>
        <v>Gas</v>
      </c>
    </row>
    <row r="96">
      <c r="A96" s="2" t="s">
        <v>23</v>
      </c>
      <c r="B96" s="16">
        <v>46263.0</v>
      </c>
      <c r="C96" s="2">
        <v>700.0</v>
      </c>
      <c r="D96" s="7" t="str">
        <f t="array" ref="D96">_xlfn.XLOOKUP(A96, Categories!A:A, Categories!B:B, "Check Category", 0)</f>
        <v>Grocery</v>
      </c>
      <c r="E96" s="7" t="str">
        <f t="array" ref="E96">_xlfn.XLOOKUP(A96, Categories!A:A, Categories!C:C, "Check subcategory", 0)</f>
        <v>Vegetables</v>
      </c>
    </row>
    <row r="97">
      <c r="A97" s="2" t="s">
        <v>39</v>
      </c>
      <c r="B97" s="16">
        <v>46263.0</v>
      </c>
      <c r="C97" s="2">
        <v>60.0</v>
      </c>
      <c r="D97" s="7" t="str">
        <f t="array" ref="D97">_xlfn.XLOOKUP(A97, Categories!A:A, Categories!B:B, "Check Category", 0)</f>
        <v>Transport</v>
      </c>
      <c r="E97" s="7" t="str">
        <f t="array" ref="E97">_xlfn.XLOOKUP(A97, Categories!A:A, Categories!C:C, "Check subcategory", 0)</f>
        <v>Auto</v>
      </c>
    </row>
    <row r="98">
      <c r="A98" s="2" t="s">
        <v>95</v>
      </c>
      <c r="B98" s="16">
        <v>46263.0</v>
      </c>
      <c r="C98" s="2">
        <v>200.0</v>
      </c>
      <c r="D98" s="7" t="str">
        <f t="array" ref="D98">_xlfn.XLOOKUP(A98, Categories!A:A, Categories!B:B, "Check Category", 0)</f>
        <v>Personal</v>
      </c>
      <c r="E98" s="7" t="str">
        <f t="array" ref="E98">_xlfn.XLOOKUP(A98, Categories!A:A, Categories!C:C, "Check subcategory", 0)</f>
        <v>Ravi</v>
      </c>
    </row>
    <row r="99">
      <c r="A99" s="2" t="s">
        <v>78</v>
      </c>
      <c r="B99" s="16">
        <v>46255.0</v>
      </c>
      <c r="C99" s="2">
        <v>199.0</v>
      </c>
      <c r="D99" s="7" t="str">
        <f t="array" ref="D99">_xlfn.XLOOKUP(A99, Categories!A:A, Categories!B:B, "Check Category", 0)</f>
        <v>Grocery</v>
      </c>
      <c r="E99" s="7" t="str">
        <f t="array" ref="E99">_xlfn.XLOOKUP(A99, Categories!A:A, Categories!C:C, "Check subcategory", 0)</f>
        <v>Readymade</v>
      </c>
    </row>
    <row r="100">
      <c r="A100" s="2" t="s">
        <v>129</v>
      </c>
      <c r="C100" s="2">
        <v>1500.0</v>
      </c>
      <c r="D100" s="14" t="s">
        <v>9</v>
      </c>
      <c r="E100" s="14" t="s">
        <v>28</v>
      </c>
    </row>
    <row r="101">
      <c r="B101" s="2" t="s">
        <v>235</v>
      </c>
      <c r="C101" s="13">
        <f>SUM(C2:C100)</f>
        <v>27656</v>
      </c>
      <c r="D101" s="7"/>
      <c r="E101" s="7"/>
    </row>
    <row r="102">
      <c r="D102" s="7"/>
      <c r="E102" s="7"/>
    </row>
    <row r="103">
      <c r="D103" s="7"/>
      <c r="E103" s="7"/>
    </row>
    <row r="104">
      <c r="D104" s="7"/>
      <c r="E104" s="7"/>
    </row>
    <row r="105">
      <c r="D105" s="7"/>
      <c r="E105" s="7"/>
    </row>
    <row r="106">
      <c r="E106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</sheetData>
  <drawing r:id="rId2"/>
</worksheet>
</file>